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кономика и Сводка" sheetId="1" state="visible" r:id="rId1"/>
    <sheet name="Факт расходов" sheetId="2" state="visible" r:id="rId2"/>
    <sheet name="План vs Рынок (Смета)" sheetId="3" state="visible" r:id="rId3"/>
    <sheet name="База материалов (Комплектация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₽&quot;"/>
    <numFmt numFmtId="165" formatCode="0.0%"/>
    <numFmt numFmtId="166" formatCode="#,##0.00 &quot;₽&quot;"/>
    <numFmt numFmtId="167" formatCode="+0.0%"/>
    <numFmt numFmtId="168" formatCode="#,##0.##"/>
    <numFmt numFmtId="169" formatCode="#,##0.00\ &quot;₽&quot;"/>
  </numFmts>
  <fonts count="46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0F172A"/>
      <sz val="9"/>
    </font>
    <font>
      <name val="Segoe UI"/>
      <b val="1"/>
      <color rgb="000F172A"/>
      <sz val="13"/>
    </font>
    <font>
      <name val="Segoe UI"/>
      <b val="1"/>
      <color rgb="0016A34A"/>
      <sz val="13"/>
    </font>
    <font>
      <name val="Segoe UI"/>
      <b val="1"/>
      <color rgb="000284C7"/>
      <sz val="12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color rgb="000F172A"/>
      <sz val="9.5"/>
    </font>
    <font>
      <name val="Segoe UI"/>
      <b val="1"/>
      <color rgb="00D97706"/>
      <sz val="9"/>
    </font>
    <font>
      <name val="Segoe UI"/>
      <color rgb="0064748B"/>
      <sz val="9"/>
    </font>
    <font>
      <name val="Segoe UI"/>
      <b val="1"/>
      <color rgb="000284C7"/>
      <sz val="9"/>
    </font>
    <font>
      <name val="Segoe UI"/>
      <b val="1"/>
      <color rgb="000F172A"/>
      <sz val="11"/>
    </font>
    <font>
      <name val="Segoe UI"/>
      <b val="1"/>
      <color rgb="00047857"/>
      <sz val="12"/>
    </font>
    <font>
      <name val="Segoe UI"/>
      <b val="1"/>
      <color rgb="000284C7"/>
      <sz val="11"/>
    </font>
    <font>
      <name val="Segoe UI"/>
      <i val="1"/>
      <color rgb="0064748B"/>
      <sz val="9.5"/>
    </font>
    <font>
      <name val="Segoe UI"/>
      <b val="1"/>
      <color rgb="0064748B"/>
      <sz val="8"/>
    </font>
    <font>
      <name val="Segoe UI"/>
      <b val="1"/>
      <color rgb="000F172A"/>
      <sz val="12"/>
    </font>
    <font>
      <name val="Segoe UI"/>
      <b val="1"/>
      <color rgb="00047857"/>
      <sz val="9.5"/>
    </font>
    <font>
      <name val="Segoe UI"/>
      <b val="1"/>
      <color rgb="00475569"/>
      <sz val="8.5"/>
    </font>
    <font>
      <name val="Segoe UI"/>
      <b val="1"/>
      <color rgb="000F172A"/>
      <sz val="10.5"/>
    </font>
    <font>
      <name val="Segoe UI"/>
      <color rgb="00475569"/>
      <sz val="9"/>
    </font>
    <font>
      <name val="Segoe UI"/>
      <color rgb="000284C7"/>
      <sz val="9"/>
      <u val="single"/>
    </font>
    <font>
      <name val="Segoe UI"/>
      <b val="1"/>
      <color rgb="000F172A"/>
      <sz val="10"/>
    </font>
    <font>
      <name val="Segoe UI"/>
      <b val="1"/>
      <color rgb="000284C7"/>
      <sz val="9"/>
      <u val="single"/>
    </font>
    <font>
      <name val="Segoe UI"/>
      <b val="1"/>
      <color rgb="00475569"/>
      <sz val="9"/>
    </font>
    <font>
      <name val="Segoe UI"/>
      <b val="1"/>
      <color rgb="001E3A8A"/>
      <sz val="10"/>
    </font>
    <font>
      <name val="Segoe UI"/>
      <b val="1"/>
      <color rgb="00334155"/>
      <sz val="9"/>
    </font>
    <font>
      <name val="Segoe UI"/>
      <b val="1"/>
      <color rgb="001E293B"/>
      <sz val="9"/>
    </font>
    <font>
      <name val="Segoe UI"/>
      <b val="1"/>
      <color rgb="0092400E"/>
      <sz val="10"/>
    </font>
    <font>
      <name val="Segoe UI"/>
      <b val="1"/>
      <color rgb="00166534"/>
      <sz val="10"/>
    </font>
    <font>
      <name val="Segoe UI"/>
      <b val="1"/>
      <color rgb="00334155"/>
      <sz val="10"/>
    </font>
    <font>
      <name val="Segoe UI"/>
      <b val="1"/>
      <color rgb="00581C87"/>
      <sz val="10"/>
    </font>
    <font>
      <name val="Segoe UI"/>
      <b val="1"/>
      <color rgb="000F172A"/>
      <sz val="14"/>
    </font>
    <font>
      <name val="Segoe UI"/>
      <b val="1"/>
      <color rgb="001E3A8A"/>
      <sz val="9.5"/>
    </font>
    <font>
      <name val="Segoe UI"/>
      <b val="1"/>
      <color rgb="000284C7"/>
      <sz val="8.5"/>
      <u val="single"/>
    </font>
    <font>
      <name val="Segoe UI"/>
      <b val="1"/>
      <color rgb="0092400E"/>
      <sz val="9.5"/>
    </font>
    <font>
      <name val="Segoe UI"/>
      <b val="1"/>
      <color rgb="00166534"/>
      <sz val="9.5"/>
    </font>
    <font>
      <name val="Segoe UI"/>
      <b val="1"/>
      <color rgb="00581C87"/>
      <sz val="9.5"/>
    </font>
    <font>
      <name val="Segoe UI"/>
      <b val="1"/>
      <color rgb="001E293B"/>
      <sz val="10"/>
    </font>
    <font>
      <name val="Segoe UI"/>
      <sz val="9"/>
    </font>
    <font>
      <name val="Segoe UI"/>
      <color rgb="000A84FF"/>
      <sz val="9"/>
      <u val="single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</fills>
  <borders count="3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/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  <border>
      <left/>
      <right/>
      <top style="thin">
        <color rgb="000F172A"/>
      </top>
      <bottom/>
      <diagonal/>
    </border>
    <border>
      <left/>
      <right style="thin">
        <color rgb="00CBD5E1"/>
      </right>
      <top style="thin">
        <color rgb="000F172A"/>
      </top>
      <bottom/>
      <diagonal/>
    </border>
    <border>
      <left/>
      <right style="thin">
        <color rgb="00CBD5E1"/>
      </right>
      <top style="thin">
        <color rgb="000F172A"/>
      </top>
      <bottom style="double">
        <color rgb="000F172A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medium">
        <color rgb="000F172A"/>
      </top>
      <bottom/>
      <diagonal/>
    </border>
    <border>
      <left/>
      <right style="thin">
        <color rgb="00334155"/>
      </right>
      <top style="medium">
        <color rgb="000F172A"/>
      </top>
      <bottom/>
      <diagonal/>
    </border>
    <border>
      <left/>
      <right style="thin">
        <color rgb="00334155"/>
      </right>
      <top style="medium">
        <color rgb="000F172A"/>
      </top>
      <bottom style="medium">
        <color rgb="000F172A"/>
      </bottom>
      <diagonal/>
    </border>
    <border>
      <left style="thin">
        <color rgb="000F172A"/>
      </left>
      <right style="thin">
        <color rgb="000F172A"/>
      </right>
      <top style="medium">
        <color rgb="000F172A"/>
      </top>
      <bottom style="medium">
        <color rgb="000F172A"/>
      </bottom>
    </border>
    <border>
      <left/>
      <right style="thin">
        <color rgb="000F172A"/>
      </right>
      <top style="medium">
        <color rgb="000F172A"/>
      </top>
      <bottom/>
      <diagonal/>
    </border>
    <border>
      <left/>
      <right style="thin">
        <color rgb="000F172A"/>
      </right>
      <top style="medium">
        <color rgb="000F172A"/>
      </top>
      <bottom style="medium">
        <color rgb="000F172A"/>
      </bottom>
      <diagonal/>
    </border>
    <border>
      <right/>
      <bottom/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  <border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E293B"/>
      </bottom>
    </border>
  </borders>
  <cellStyleXfs count="1">
    <xf numFmtId="0" fontId="0" fillId="0" borderId="0"/>
  </cellStyleXfs>
  <cellXfs count="3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3" borderId="2" pivotButton="0" quotePrefix="0" xfId="0"/>
    <xf numFmtId="164" fontId="5" fillId="3" borderId="2" pivotButton="0" quotePrefix="0" xfId="0"/>
    <xf numFmtId="0" fontId="0" fillId="3" borderId="2" pivotButton="0" quotePrefix="0" xfId="0"/>
    <xf numFmtId="0" fontId="5" fillId="0" borderId="1" pivotButton="0" quotePrefix="0" xfId="0"/>
    <xf numFmtId="164" fontId="7" fillId="5" borderId="1" pivotButton="0" quotePrefix="0" xfId="0"/>
    <xf numFmtId="165" fontId="7" fillId="5" borderId="1" pivotButton="0" quotePrefix="0" xfId="0"/>
    <xf numFmtId="165" fontId="4" fillId="0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/>
    </xf>
    <xf numFmtId="166" fontId="5" fillId="3" borderId="2" applyAlignment="1" pivotButton="0" quotePrefix="0" xfId="0">
      <alignment horizontal="right" vertical="center"/>
    </xf>
    <xf numFmtId="0" fontId="4" fillId="0" borderId="9" pivotButton="0" quotePrefix="0" xfId="0"/>
    <xf numFmtId="0" fontId="4" fillId="0" borderId="9" applyAlignment="1" pivotButton="0" quotePrefix="0" xfId="0">
      <alignment horizontal="right" vertical="center"/>
    </xf>
    <xf numFmtId="166" fontId="4" fillId="0" borderId="9" applyAlignment="1" pivotButton="0" quotePrefix="0" xfId="0">
      <alignment horizontal="right" vertical="center"/>
    </xf>
    <xf numFmtId="165" fontId="4" fillId="0" borderId="9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0" borderId="9" applyAlignment="1" pivotButton="0" quotePrefix="0" xfId="0">
      <alignment horizontal="right" vertical="center"/>
    </xf>
    <xf numFmtId="0" fontId="4" fillId="3" borderId="2" pivotButton="0" quotePrefix="0" xfId="0"/>
    <xf numFmtId="0" fontId="6" fillId="0" borderId="0" pivotButton="0" quotePrefix="0" xfId="0"/>
    <xf numFmtId="0" fontId="9" fillId="0" borderId="0" pivotButton="0" quotePrefix="0" xfId="0"/>
    <xf numFmtId="0" fontId="16" fillId="0" borderId="0" pivotButton="0" quotePrefix="0" xfId="0"/>
    <xf numFmtId="0" fontId="10" fillId="2" borderId="10" applyAlignment="1" pivotButton="0" quotePrefix="0" xfId="0">
      <alignment horizontal="left" vertical="center"/>
    </xf>
    <xf numFmtId="0" fontId="10" fillId="2" borderId="10" applyAlignment="1" pivotButton="0" quotePrefix="0" xfId="0">
      <alignment horizontal="right" vertical="center"/>
    </xf>
    <xf numFmtId="0" fontId="10" fillId="2" borderId="10" applyAlignment="1" pivotButton="0" quotePrefix="0" xfId="0">
      <alignment horizontal="center" vertical="center"/>
    </xf>
    <xf numFmtId="0" fontId="4" fillId="4" borderId="11" applyAlignment="1" pivotButton="0" quotePrefix="0" xfId="0">
      <alignment horizontal="left" vertical="center"/>
    </xf>
    <xf numFmtId="164" fontId="4" fillId="4" borderId="11" applyAlignment="1" pivotButton="0" quotePrefix="0" xfId="0">
      <alignment horizontal="right" vertical="center"/>
    </xf>
    <xf numFmtId="164" fontId="5" fillId="4" borderId="11" applyAlignment="1" pivotButton="0" quotePrefix="0" xfId="0">
      <alignment horizontal="right" vertical="center"/>
    </xf>
    <xf numFmtId="164" fontId="11" fillId="6" borderId="11" applyAlignment="1" pivotButton="0" quotePrefix="0" xfId="0">
      <alignment horizontal="right" vertical="center"/>
    </xf>
    <xf numFmtId="0" fontId="11" fillId="4" borderId="11" applyAlignment="1" pivotButton="0" quotePrefix="0" xfId="0">
      <alignment horizontal="center" vertical="center"/>
    </xf>
    <xf numFmtId="0" fontId="4" fillId="7" borderId="11" applyAlignment="1" pivotButton="0" quotePrefix="0" xfId="0">
      <alignment horizontal="left" vertical="center"/>
    </xf>
    <xf numFmtId="164" fontId="4" fillId="7" borderId="11" applyAlignment="1" pivotButton="0" quotePrefix="0" xfId="0">
      <alignment horizontal="right" vertical="center"/>
    </xf>
    <xf numFmtId="164" fontId="5" fillId="7" borderId="11" applyAlignment="1" pivotButton="0" quotePrefix="0" xfId="0">
      <alignment horizontal="right" vertical="center"/>
    </xf>
    <xf numFmtId="0" fontId="11" fillId="7" borderId="11" applyAlignment="1" pivotButton="0" quotePrefix="0" xfId="0">
      <alignment horizontal="center" vertical="center"/>
    </xf>
    <xf numFmtId="0" fontId="13" fillId="4" borderId="11" applyAlignment="1" pivotButton="0" quotePrefix="0" xfId="0">
      <alignment horizontal="center" vertical="center"/>
    </xf>
    <xf numFmtId="0" fontId="12" fillId="3" borderId="12" applyAlignment="1" pivotButton="0" quotePrefix="0" xfId="0">
      <alignment horizontal="left" vertical="center"/>
    </xf>
    <xf numFmtId="164" fontId="12" fillId="3" borderId="12" applyAlignment="1" pivotButton="0" quotePrefix="0" xfId="0">
      <alignment horizontal="right" vertical="center"/>
    </xf>
    <xf numFmtId="164" fontId="11" fillId="3" borderId="12" applyAlignment="1" pivotButton="0" quotePrefix="0" xfId="0">
      <alignment horizontal="right" vertical="center"/>
    </xf>
    <xf numFmtId="0" fontId="12" fillId="3" borderId="12" pivotButton="0" quotePrefix="0" xfId="0"/>
    <xf numFmtId="164" fontId="12" fillId="5" borderId="1" applyAlignment="1" pivotButton="0" quotePrefix="0" xfId="0">
      <alignment horizontal="right" vertical="center"/>
    </xf>
    <xf numFmtId="0" fontId="16" fillId="6" borderId="11" pivotButton="0" quotePrefix="0" xfId="0"/>
    <xf numFmtId="164" fontId="17" fillId="6" borderId="11" applyAlignment="1" pivotButton="0" quotePrefix="0" xfId="0">
      <alignment horizontal="right" vertical="center"/>
    </xf>
    <xf numFmtId="165" fontId="18" fillId="5" borderId="1" applyAlignment="1" pivotButton="0" quotePrefix="0" xfId="0">
      <alignment horizontal="right" vertical="center"/>
    </xf>
    <xf numFmtId="0" fontId="4" fillId="4" borderId="11" applyAlignment="1" pivotButton="0" quotePrefix="0" xfId="0">
      <alignment horizontal="center" vertical="center"/>
    </xf>
    <xf numFmtId="165" fontId="11" fillId="6" borderId="11" applyAlignment="1" pivotButton="0" quotePrefix="0" xfId="0">
      <alignment horizontal="center" vertical="center"/>
    </xf>
    <xf numFmtId="0" fontId="4" fillId="7" borderId="11" applyAlignment="1" pivotButton="0" quotePrefix="0" xfId="0">
      <alignment horizontal="center" vertical="center"/>
    </xf>
    <xf numFmtId="0" fontId="12" fillId="3" borderId="12" applyAlignment="1" pivotButton="0" quotePrefix="0" xfId="0">
      <alignment horizontal="right" vertical="center"/>
    </xf>
    <xf numFmtId="165" fontId="11" fillId="3" borderId="12" applyAlignment="1" pivotButton="0" quotePrefix="0" xfId="0">
      <alignment horizontal="center" vertical="center"/>
    </xf>
    <xf numFmtId="0" fontId="14" fillId="7" borderId="11" applyAlignment="1" pivotButton="0" quotePrefix="0" xfId="0">
      <alignment horizontal="center" vertical="center"/>
    </xf>
    <xf numFmtId="0" fontId="15" fillId="4" borderId="11" applyAlignment="1" pivotButton="0" quotePrefix="0" xfId="0">
      <alignment horizontal="center" vertical="center"/>
    </xf>
    <xf numFmtId="0" fontId="14" fillId="4" borderId="11" applyAlignment="1" pivotButton="0" quotePrefix="0" xfId="0">
      <alignment horizontal="center" vertical="center"/>
    </xf>
    <xf numFmtId="0" fontId="12" fillId="3" borderId="13" pivotButton="0" quotePrefix="0" xfId="0"/>
    <xf numFmtId="0" fontId="12" fillId="3" borderId="13" applyAlignment="1" pivotButton="0" quotePrefix="0" xfId="0">
      <alignment horizontal="left" vertical="center"/>
    </xf>
    <xf numFmtId="164" fontId="12" fillId="3" borderId="13" applyAlignment="1" pivotButton="0" quotePrefix="0" xfId="0">
      <alignment horizontal="right" vertical="center"/>
    </xf>
    <xf numFmtId="165" fontId="11" fillId="3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3" borderId="1" applyAlignment="1" pivotButton="0" quotePrefix="0" xfId="0">
      <alignment horizontal="center" vertical="center"/>
    </xf>
    <xf numFmtId="164" fontId="21" fillId="7" borderId="1" applyAlignment="1" pivotButton="0" quotePrefix="0" xfId="0">
      <alignment horizontal="center" vertical="center"/>
    </xf>
    <xf numFmtId="164" fontId="17" fillId="7" borderId="1" applyAlignment="1" pivotButton="0" quotePrefix="0" xfId="0">
      <alignment horizontal="center" vertical="center"/>
    </xf>
    <xf numFmtId="165" fontId="17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22" fillId="3" borderId="12" applyAlignment="1" pivotButton="0" quotePrefix="0" xfId="0">
      <alignment horizontal="right" vertical="center"/>
    </xf>
    <xf numFmtId="0" fontId="12" fillId="3" borderId="12" applyAlignment="1" pivotButton="0" quotePrefix="0" xfId="0">
      <alignment horizontal="center" vertical="center"/>
    </xf>
    <xf numFmtId="0" fontId="0" fillId="0" borderId="16" pivotButton="0" quotePrefix="0" xfId="0"/>
    <xf numFmtId="0" fontId="5" fillId="7" borderId="1" applyAlignment="1" pivotButton="0" quotePrefix="0" xfId="0">
      <alignment horizontal="left" vertical="center"/>
    </xf>
    <xf numFmtId="0" fontId="22" fillId="6" borderId="12" applyAlignment="1" pivotButton="0" quotePrefix="0" xfId="0">
      <alignment horizontal="left" vertical="center"/>
    </xf>
    <xf numFmtId="164" fontId="22" fillId="6" borderId="12" applyAlignment="1" pivotButton="0" quotePrefix="0" xfId="0">
      <alignment horizontal="right" vertical="center"/>
    </xf>
    <xf numFmtId="0" fontId="22" fillId="6" borderId="12" applyAlignment="1" pivotButton="0" quotePrefix="0" xfId="0">
      <alignment horizontal="center" vertical="center"/>
    </xf>
    <xf numFmtId="165" fontId="12" fillId="3" borderId="12" applyAlignment="1" pivotButton="0" quotePrefix="0" xfId="0">
      <alignment horizontal="right" vertical="center"/>
    </xf>
    <xf numFmtId="167" fontId="22" fillId="3" borderId="12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12" fillId="3" borderId="12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5" fontId="22" fillId="3" borderId="12" applyAlignment="1" pivotButton="0" quotePrefix="0" xfId="0">
      <alignment horizontal="center" vertical="center"/>
    </xf>
    <xf numFmtId="164" fontId="5" fillId="3" borderId="12" applyAlignment="1" pivotButton="0" quotePrefix="0" xfId="0">
      <alignment horizontal="right" vertical="center"/>
    </xf>
    <xf numFmtId="0" fontId="0" fillId="3" borderId="12" pivotButton="0" quotePrefix="0" xfId="0"/>
    <xf numFmtId="0" fontId="11" fillId="6" borderId="1" applyAlignment="1" pivotButton="0" quotePrefix="0" xfId="0">
      <alignment horizontal="center" vertical="center"/>
    </xf>
    <xf numFmtId="164" fontId="11" fillId="6" borderId="12" applyAlignment="1" pivotButton="0" quotePrefix="0" xfId="0">
      <alignment horizontal="right" vertical="center"/>
    </xf>
    <xf numFmtId="0" fontId="0" fillId="6" borderId="12" pivotButton="0" quotePrefix="0" xfId="0"/>
    <xf numFmtId="165" fontId="5" fillId="3" borderId="12" applyAlignment="1" pivotButton="0" quotePrefix="0" xfId="0">
      <alignment horizontal="right" vertical="center"/>
    </xf>
    <xf numFmtId="167" fontId="11" fillId="3" borderId="12" applyAlignment="1" pivotButton="0" quotePrefix="0" xfId="0">
      <alignment horizontal="right" vertical="center"/>
    </xf>
    <xf numFmtId="0" fontId="0" fillId="0" borderId="17" pivotButton="0" quotePrefix="0" xfId="0"/>
    <xf numFmtId="165" fontId="11" fillId="6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164" fontId="17" fillId="4" borderId="1" applyAlignment="1" pivotButton="0" quotePrefix="0" xfId="0">
      <alignment horizontal="center" vertical="center"/>
    </xf>
    <xf numFmtId="165" fontId="17" fillId="4" borderId="1" applyAlignment="1" pivotButton="0" quotePrefix="0" xfId="0">
      <alignment horizontal="center" vertical="center"/>
    </xf>
    <xf numFmtId="0" fontId="24" fillId="3" borderId="0" applyAlignment="1" pivotButton="0" quotePrefix="0" xfId="0">
      <alignment horizontal="left" vertical="center" indent="1"/>
    </xf>
    <xf numFmtId="164" fontId="11" fillId="7" borderId="11" applyAlignment="1" pivotButton="0" quotePrefix="0" xfId="0">
      <alignment horizontal="right" vertical="center"/>
    </xf>
    <xf numFmtId="164" fontId="11" fillId="4" borderId="11" applyAlignment="1" pivotButton="0" quotePrefix="0" xfId="0">
      <alignment horizontal="right" vertical="center"/>
    </xf>
    <xf numFmtId="0" fontId="4" fillId="3" borderId="12" applyAlignment="1" pivotButton="0" quotePrefix="0" xfId="0">
      <alignment horizontal="left" vertical="center"/>
    </xf>
    <xf numFmtId="0" fontId="12" fillId="4" borderId="11" applyAlignment="1" pivotButton="0" quotePrefix="0" xfId="0">
      <alignment horizontal="left" vertical="center"/>
    </xf>
    <xf numFmtId="164" fontId="12" fillId="4" borderId="11" applyAlignment="1" pivotButton="0" quotePrefix="0" xfId="0">
      <alignment horizontal="right" vertical="center"/>
    </xf>
    <xf numFmtId="0" fontId="12" fillId="4" borderId="11" applyAlignment="1" pivotButton="0" quotePrefix="0" xfId="0">
      <alignment horizontal="center" vertical="center"/>
    </xf>
    <xf numFmtId="0" fontId="12" fillId="7" borderId="11" applyAlignment="1" pivotButton="0" quotePrefix="0" xfId="0">
      <alignment horizontal="left" vertical="center"/>
    </xf>
    <xf numFmtId="164" fontId="12" fillId="7" borderId="11" applyAlignment="1" pivotButton="0" quotePrefix="0" xfId="0">
      <alignment horizontal="right" vertical="center"/>
    </xf>
    <xf numFmtId="0" fontId="12" fillId="7" borderId="11" applyAlignment="1" pivotButton="0" quotePrefix="0" xfId="0">
      <alignment horizontal="right" vertical="center"/>
    </xf>
    <xf numFmtId="0" fontId="12" fillId="7" borderId="11" applyAlignment="1" pivotButton="0" quotePrefix="0" xfId="0">
      <alignment horizontal="center" vertical="center"/>
    </xf>
    <xf numFmtId="165" fontId="12" fillId="7" borderId="11" applyAlignment="1" pivotButton="0" quotePrefix="0" xfId="0">
      <alignment horizontal="right" vertical="center"/>
    </xf>
    <xf numFmtId="165" fontId="11" fillId="7" borderId="11" applyAlignment="1" pivotButton="0" quotePrefix="0" xfId="0">
      <alignment horizontal="right" vertical="center"/>
    </xf>
    <xf numFmtId="165" fontId="4" fillId="4" borderId="11" applyAlignment="1" pivotButton="0" quotePrefix="0" xfId="0">
      <alignment horizontal="right" vertical="center"/>
    </xf>
    <xf numFmtId="165" fontId="4" fillId="7" borderId="11" applyAlignment="1" pivotButton="0" quotePrefix="0" xfId="0">
      <alignment horizontal="right" vertical="center"/>
    </xf>
    <xf numFmtId="0" fontId="5" fillId="3" borderId="12" applyAlignment="1" pivotButton="0" quotePrefix="0" xfId="0">
      <alignment horizontal="center" vertical="center"/>
    </xf>
    <xf numFmtId="165" fontId="11" fillId="4" borderId="11" applyAlignment="1" pivotButton="0" quotePrefix="0" xfId="0">
      <alignment horizontal="right" vertical="center"/>
    </xf>
    <xf numFmtId="165" fontId="11" fillId="3" borderId="12" applyAlignment="1" pivotButton="0" quotePrefix="0" xfId="0">
      <alignment horizontal="right" vertical="center"/>
    </xf>
    <xf numFmtId="0" fontId="0" fillId="0" borderId="9" pivotButton="0" quotePrefix="0" xfId="0"/>
    <xf numFmtId="0" fontId="25" fillId="0" borderId="0" applyAlignment="1" pivotButton="0" quotePrefix="0" xfId="0">
      <alignment horizontal="left" vertical="center"/>
    </xf>
    <xf numFmtId="0" fontId="24" fillId="3" borderId="9" applyAlignment="1" pivotButton="0" quotePrefix="0" xfId="0">
      <alignment horizontal="left" vertical="center" indent="1"/>
    </xf>
    <xf numFmtId="0" fontId="10" fillId="2" borderId="24" applyAlignment="1" pivotButton="0" quotePrefix="0" xfId="0">
      <alignment horizontal="left" vertical="center"/>
    </xf>
    <xf numFmtId="0" fontId="10" fillId="2" borderId="24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0" fillId="0" borderId="20" pivotButton="0" quotePrefix="0" xfId="0"/>
    <xf numFmtId="164" fontId="11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0" fontId="25" fillId="0" borderId="0" pivotButton="0" quotePrefix="0" xfId="0"/>
    <xf numFmtId="0" fontId="10" fillId="2" borderId="24" applyAlignment="1" pivotButton="0" quotePrefix="0" xfId="0">
      <alignment horizontal="center" vertical="center"/>
    </xf>
    <xf numFmtId="0" fontId="0" fillId="0" borderId="26" pivotButton="0" quotePrefix="0" xfId="0"/>
    <xf numFmtId="0" fontId="24" fillId="3" borderId="27" applyAlignment="1" pivotButton="0" quotePrefix="0" xfId="0">
      <alignment horizontal="left" vertical="center" indent="1"/>
    </xf>
    <xf numFmtId="0" fontId="0" fillId="0" borderId="23" pivotButton="0" quotePrefix="0" xfId="0"/>
    <xf numFmtId="0" fontId="10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3" fontId="4" fillId="7" borderId="11" applyAlignment="1" pivotButton="0" quotePrefix="0" xfId="0">
      <alignment horizontal="center" vertical="center"/>
    </xf>
    <xf numFmtId="0" fontId="26" fillId="7" borderId="11" applyAlignment="1" pivotButton="0" quotePrefix="0" xfId="0">
      <alignment horizontal="left" vertical="center"/>
    </xf>
    <xf numFmtId="3" fontId="4" fillId="4" borderId="11" applyAlignment="1" pivotButton="0" quotePrefix="0" xfId="0">
      <alignment horizontal="center" vertical="center"/>
    </xf>
    <xf numFmtId="4" fontId="4" fillId="4" borderId="11" applyAlignment="1" pivotButton="0" quotePrefix="0" xfId="0">
      <alignment horizontal="center" vertical="center"/>
    </xf>
    <xf numFmtId="0" fontId="5" fillId="3" borderId="12" pivotButton="0" quotePrefix="0" xfId="0"/>
    <xf numFmtId="0" fontId="5" fillId="3" borderId="12" applyAlignment="1" pivotButton="0" quotePrefix="0" xfId="0">
      <alignment horizontal="right" vertical="center"/>
    </xf>
    <xf numFmtId="164" fontId="27" fillId="3" borderId="12" applyAlignment="1" pivotButton="0" quotePrefix="0" xfId="0">
      <alignment horizontal="right" vertical="center"/>
    </xf>
    <xf numFmtId="166" fontId="4" fillId="7" borderId="11" applyAlignment="1" pivotButton="0" quotePrefix="0" xfId="0">
      <alignment horizontal="right" vertical="center"/>
    </xf>
    <xf numFmtId="166" fontId="4" fillId="4" borderId="11" applyAlignment="1" pivotButton="0" quotePrefix="0" xfId="0">
      <alignment horizontal="right" vertical="center"/>
    </xf>
    <xf numFmtId="0" fontId="28" fillId="4" borderId="11" applyAlignment="1" pivotButton="0" quotePrefix="0" xfId="0">
      <alignment horizontal="center" vertical="center"/>
    </xf>
    <xf numFmtId="0" fontId="28" fillId="7" borderId="11" applyAlignment="1" pivotButton="0" quotePrefix="0" xfId="0">
      <alignment horizontal="center" vertical="center"/>
    </xf>
    <xf numFmtId="0" fontId="27" fillId="3" borderId="28" applyAlignment="1" pivotButton="0" quotePrefix="0" xfId="0">
      <alignment horizontal="center" vertical="center"/>
    </xf>
    <xf numFmtId="0" fontId="27" fillId="3" borderId="28" applyAlignment="1" pivotButton="0" quotePrefix="0" xfId="0">
      <alignment horizontal="left" vertical="center"/>
    </xf>
    <xf numFmtId="166" fontId="27" fillId="3" borderId="28" applyAlignment="1" pivotButton="0" quotePrefix="0" xfId="0">
      <alignment horizontal="right" vertical="center"/>
    </xf>
    <xf numFmtId="0" fontId="21" fillId="0" borderId="0" pivotButton="0" quotePrefix="0" xfId="0"/>
    <xf numFmtId="0" fontId="29" fillId="0" borderId="0" pivotButton="0" quotePrefix="0" xfId="0"/>
    <xf numFmtId="164" fontId="17" fillId="6" borderId="0" pivotButton="0" quotePrefix="0" xfId="0"/>
    <xf numFmtId="0" fontId="4" fillId="7" borderId="0" pivotButton="0" quotePrefix="0" xfId="0"/>
    <xf numFmtId="166" fontId="4" fillId="7" borderId="0" pivotButton="0" quotePrefix="0" xfId="0"/>
    <xf numFmtId="166" fontId="5" fillId="7" borderId="0" pivotButton="0" quotePrefix="0" xfId="0"/>
    <xf numFmtId="0" fontId="26" fillId="7" borderId="0" pivotButton="0" quotePrefix="0" xfId="0"/>
    <xf numFmtId="0" fontId="4" fillId="4" borderId="0" pivotButton="0" quotePrefix="0" xfId="0"/>
    <xf numFmtId="166" fontId="4" fillId="4" borderId="0" pivotButton="0" quotePrefix="0" xfId="0"/>
    <xf numFmtId="166" fontId="5" fillId="4" borderId="0" pivotButton="0" quotePrefix="0" xfId="0"/>
    <xf numFmtId="0" fontId="26" fillId="4" borderId="0" pivotButton="0" quotePrefix="0" xfId="0"/>
    <xf numFmtId="0" fontId="30" fillId="9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3" fontId="4" fillId="0" borderId="11" applyAlignment="1" pivotButton="0" quotePrefix="0" xfId="0">
      <alignment horizontal="center" vertical="center"/>
    </xf>
    <xf numFmtId="166" fontId="4" fillId="0" borderId="11" applyAlignment="1" pivotButton="0" quotePrefix="0" xfId="0">
      <alignment horizontal="right" vertical="center"/>
    </xf>
    <xf numFmtId="0" fontId="28" fillId="0" borderId="11" applyAlignment="1" pivotButton="0" quotePrefix="0" xfId="0">
      <alignment horizontal="center" vertical="center"/>
    </xf>
    <xf numFmtId="0" fontId="31" fillId="3" borderId="0" applyAlignment="1" pivotButton="0" quotePrefix="0" xfId="0">
      <alignment vertical="center"/>
    </xf>
    <xf numFmtId="166" fontId="31" fillId="3" borderId="0" applyAlignment="1" pivotButton="0" quotePrefix="0" xfId="0">
      <alignment horizontal="right" vertical="center"/>
    </xf>
    <xf numFmtId="0" fontId="3" fillId="2" borderId="0" applyAlignment="1" pivotButton="0" quotePrefix="0" xfId="0">
      <alignment vertical="center"/>
    </xf>
    <xf numFmtId="166" fontId="3" fillId="2" borderId="0" applyAlignment="1" pivotButton="0" quotePrefix="0" xfId="0">
      <alignment horizontal="right" vertical="center"/>
    </xf>
    <xf numFmtId="0" fontId="32" fillId="3" borderId="0" applyAlignment="1" pivotButton="0" quotePrefix="0" xfId="0">
      <alignment vertical="center"/>
    </xf>
    <xf numFmtId="166" fontId="32" fillId="3" borderId="0" applyAlignment="1" pivotButton="0" quotePrefix="0" xfId="0">
      <alignment horizontal="right" vertical="center"/>
    </xf>
    <xf numFmtId="0" fontId="33" fillId="10" borderId="0" applyAlignment="1" pivotButton="0" quotePrefix="0" xfId="0">
      <alignment vertical="center"/>
    </xf>
    <xf numFmtId="0" fontId="34" fillId="5" borderId="0" applyAlignment="1" pivotButton="0" quotePrefix="0" xfId="0">
      <alignment vertical="center"/>
    </xf>
    <xf numFmtId="0" fontId="35" fillId="3" borderId="0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 wrapText="1"/>
    </xf>
    <xf numFmtId="0" fontId="30" fillId="9" borderId="0" applyAlignment="1" pivotButton="0" quotePrefix="0" xfId="0">
      <alignment horizontal="left" vertical="center"/>
    </xf>
    <xf numFmtId="0" fontId="32" fillId="3" borderId="0" applyAlignment="1" pivotButton="0" quotePrefix="0" xfId="0">
      <alignment horizontal="left" vertical="center"/>
    </xf>
    <xf numFmtId="0" fontId="33" fillId="10" borderId="0" applyAlignment="1" pivotButton="0" quotePrefix="0" xfId="0">
      <alignment horizontal="left" vertical="center"/>
    </xf>
    <xf numFmtId="0" fontId="34" fillId="5" borderId="0" applyAlignment="1" pivotButton="0" quotePrefix="0" xfId="0">
      <alignment horizontal="left" vertical="center"/>
    </xf>
    <xf numFmtId="0" fontId="35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2" fillId="4" borderId="0" applyAlignment="1" pivotButton="0" quotePrefix="0" xfId="0">
      <alignment vertical="center"/>
    </xf>
    <xf numFmtId="166" fontId="12" fillId="4" borderId="0" applyAlignment="1" pivotButton="0" quotePrefix="0" xfId="0">
      <alignment horizontal="right" vertical="center"/>
    </xf>
    <xf numFmtId="0" fontId="24" fillId="3" borderId="0" applyAlignment="1" pivotButton="0" quotePrefix="0" xfId="0">
      <alignment vertical="center"/>
    </xf>
    <xf numFmtId="166" fontId="24" fillId="3" borderId="0" applyAlignment="1" pivotButton="0" quotePrefix="0" xfId="0">
      <alignment horizontal="right" vertical="center"/>
    </xf>
    <xf numFmtId="165" fontId="11" fillId="6" borderId="11" applyAlignment="1" pivotButton="0" quotePrefix="0" xfId="0">
      <alignment horizontal="right" vertical="center"/>
    </xf>
    <xf numFmtId="168" fontId="4" fillId="4" borderId="11" applyAlignment="1" pivotButton="0" quotePrefix="0" xfId="0">
      <alignment horizontal="center" vertical="center"/>
    </xf>
    <xf numFmtId="166" fontId="5" fillId="4" borderId="11" applyAlignment="1" pivotButton="0" quotePrefix="0" xfId="0">
      <alignment horizontal="right" vertical="center"/>
    </xf>
    <xf numFmtId="168" fontId="4" fillId="7" borderId="11" applyAlignment="1" pivotButton="0" quotePrefix="0" xfId="0">
      <alignment horizontal="center" vertical="center"/>
    </xf>
    <xf numFmtId="166" fontId="5" fillId="7" borderId="11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/>
    </xf>
    <xf numFmtId="0" fontId="24" fillId="3" borderId="12" applyAlignment="1" pivotButton="0" quotePrefix="0" xfId="0">
      <alignment horizontal="left" vertical="center"/>
    </xf>
    <xf numFmtId="166" fontId="24" fillId="3" borderId="12" applyAlignment="1" pivotButton="0" quotePrefix="0" xfId="0">
      <alignment horizontal="right" vertical="center"/>
    </xf>
    <xf numFmtId="0" fontId="27" fillId="4" borderId="0" applyAlignment="1" pivotButton="0" quotePrefix="0" xfId="0">
      <alignment vertical="center"/>
    </xf>
    <xf numFmtId="166" fontId="27" fillId="4" borderId="0" applyAlignment="1" pivotButton="0" quotePrefix="0" xfId="0">
      <alignment horizontal="right" vertical="center"/>
    </xf>
    <xf numFmtId="0" fontId="36" fillId="11" borderId="0" applyAlignment="1" pivotButton="0" quotePrefix="0" xfId="0">
      <alignment horizontal="left" vertical="center"/>
    </xf>
    <xf numFmtId="0" fontId="16" fillId="3" borderId="12" applyAlignment="1" pivotButton="0" quotePrefix="0" xfId="0">
      <alignment vertical="center"/>
    </xf>
    <xf numFmtId="166" fontId="16" fillId="3" borderId="12" applyAlignment="1" pivotButton="0" quotePrefix="0" xfId="0">
      <alignment horizontal="right" vertical="center"/>
    </xf>
    <xf numFmtId="0" fontId="12" fillId="3" borderId="0" applyAlignment="1" pivotButton="0" quotePrefix="0" xfId="0">
      <alignment horizontal="left" vertical="center"/>
    </xf>
    <xf numFmtId="0" fontId="4" fillId="4" borderId="11" applyAlignment="1" pivotButton="0" quotePrefix="0" xfId="0">
      <alignment horizontal="right" vertical="center"/>
    </xf>
    <xf numFmtId="0" fontId="4" fillId="7" borderId="11" applyAlignment="1" pivotButton="0" quotePrefix="0" xfId="0">
      <alignment horizontal="right" vertical="center"/>
    </xf>
    <xf numFmtId="0" fontId="5" fillId="4" borderId="0" pivotButton="0" quotePrefix="0" xfId="0"/>
    <xf numFmtId="166" fontId="5" fillId="4" borderId="0" applyAlignment="1" pivotButton="0" quotePrefix="0" xfId="0">
      <alignment horizontal="right" vertical="center"/>
    </xf>
    <xf numFmtId="166" fontId="12" fillId="3" borderId="12" applyAlignment="1" pivotButton="0" quotePrefix="0" xfId="0">
      <alignment horizontal="right" vertical="center"/>
    </xf>
    <xf numFmtId="0" fontId="27" fillId="4" borderId="29" pivotButton="0" quotePrefix="0" xfId="0"/>
    <xf numFmtId="166" fontId="27" fillId="4" borderId="29" applyAlignment="1" pivotButton="0" quotePrefix="0" xfId="0">
      <alignment horizontal="right" vertical="center"/>
    </xf>
    <xf numFmtId="0" fontId="16" fillId="3" borderId="30" pivotButton="0" quotePrefix="0" xfId="0"/>
    <xf numFmtId="166" fontId="16" fillId="3" borderId="30" applyAlignment="1" pivotButton="0" quotePrefix="0" xfId="0">
      <alignment horizontal="right" vertical="center"/>
    </xf>
    <xf numFmtId="0" fontId="27" fillId="3" borderId="12" pivotButton="0" quotePrefix="0" xfId="0"/>
    <xf numFmtId="0" fontId="27" fillId="3" borderId="12" applyAlignment="1" pivotButton="0" quotePrefix="0" xfId="0">
      <alignment horizontal="right" vertical="center"/>
    </xf>
    <xf numFmtId="0" fontId="37" fillId="0" borderId="0" pivotButton="0" quotePrefix="0" xfId="0"/>
    <xf numFmtId="0" fontId="14" fillId="0" borderId="0" pivotButton="0" quotePrefix="0" xfId="0"/>
    <xf numFmtId="0" fontId="30" fillId="9" borderId="1" pivotButton="0" quotePrefix="0" xfId="0"/>
    <xf numFmtId="3" fontId="4" fillId="4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27" fillId="3" borderId="1" pivotButton="0" quotePrefix="0" xfId="0"/>
    <xf numFmtId="0" fontId="27" fillId="3" borderId="1" applyAlignment="1" pivotButton="0" quotePrefix="0" xfId="0">
      <alignment horizontal="right" vertical="center"/>
    </xf>
    <xf numFmtId="164" fontId="27" fillId="3" borderId="1" applyAlignment="1" pivotButton="0" quotePrefix="0" xfId="0">
      <alignment horizontal="right" vertical="center"/>
    </xf>
    <xf numFmtId="0" fontId="33" fillId="10" borderId="1" pivotButton="0" quotePrefix="0" xfId="0"/>
    <xf numFmtId="0" fontId="34" fillId="5" borderId="1" pivotButton="0" quotePrefix="0" xfId="0"/>
    <xf numFmtId="0" fontId="36" fillId="11" borderId="1" pivotButton="0" quotePrefix="0" xfId="0"/>
    <xf numFmtId="0" fontId="38" fillId="9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39" fillId="7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39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0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3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0" fontId="28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1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2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2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3" fontId="4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0" fontId="28" fillId="11" borderId="1" applyAlignment="1" pivotButton="0" quotePrefix="0" xfId="0">
      <alignment horizontal="center" vertical="center"/>
    </xf>
    <xf numFmtId="0" fontId="5" fillId="3" borderId="1" pivotButton="0" quotePrefix="0" xfId="0"/>
    <xf numFmtId="0" fontId="27" fillId="3" borderId="12" applyAlignment="1" pivotButton="0" quotePrefix="0" xfId="0">
      <alignment horizontal="center" vertical="center"/>
    </xf>
    <xf numFmtId="0" fontId="27" fillId="3" borderId="12" applyAlignment="1" pivotButton="0" quotePrefix="0" xfId="0">
      <alignment horizontal="left" vertical="center"/>
    </xf>
    <xf numFmtId="0" fontId="43" fillId="9" borderId="31" applyAlignment="1" pivotButton="0" quotePrefix="0" xfId="0">
      <alignment horizontal="center" vertical="center"/>
    </xf>
    <xf numFmtId="0" fontId="43" fillId="9" borderId="31" applyAlignment="1" pivotButton="0" quotePrefix="0" xfId="0">
      <alignment horizontal="left" vertical="center"/>
    </xf>
    <xf numFmtId="0" fontId="44" fillId="7" borderId="31" applyAlignment="1" pivotButton="0" quotePrefix="0" xfId="0">
      <alignment horizontal="center" vertical="center"/>
    </xf>
    <xf numFmtId="0" fontId="44" fillId="7" borderId="31" applyAlignment="1" pivotButton="0" quotePrefix="0" xfId="0">
      <alignment horizontal="left" vertical="center"/>
    </xf>
    <xf numFmtId="168" fontId="44" fillId="7" borderId="31" applyAlignment="1" pivotButton="0" quotePrefix="0" xfId="0">
      <alignment horizontal="right" vertical="center"/>
    </xf>
    <xf numFmtId="169" fontId="44" fillId="7" borderId="31" applyAlignment="1" pivotButton="0" quotePrefix="0" xfId="0">
      <alignment horizontal="right" vertical="center"/>
    </xf>
    <xf numFmtId="0" fontId="45" fillId="7" borderId="31" applyAlignment="1" pivotButton="0" quotePrefix="0" xfId="0">
      <alignment horizontal="center" vertical="center"/>
    </xf>
    <xf numFmtId="0" fontId="44" fillId="4" borderId="31" applyAlignment="1" pivotButton="0" quotePrefix="0" xfId="0">
      <alignment horizontal="center" vertical="center"/>
    </xf>
    <xf numFmtId="0" fontId="44" fillId="4" borderId="31" applyAlignment="1" pivotButton="0" quotePrefix="0" xfId="0">
      <alignment horizontal="left" vertical="center"/>
    </xf>
    <xf numFmtId="168" fontId="44" fillId="4" borderId="31" applyAlignment="1" pivotButton="0" quotePrefix="0" xfId="0">
      <alignment horizontal="right" vertical="center"/>
    </xf>
    <xf numFmtId="169" fontId="44" fillId="4" borderId="31" applyAlignment="1" pivotButton="0" quotePrefix="0" xfId="0">
      <alignment horizontal="right" vertical="center"/>
    </xf>
    <xf numFmtId="0" fontId="45" fillId="4" borderId="31" applyAlignment="1" pivotButton="0" quotePrefix="0" xfId="0">
      <alignment horizontal="center" vertical="center"/>
    </xf>
    <xf numFmtId="0" fontId="32" fillId="3" borderId="31" applyAlignment="1" pivotButton="0" quotePrefix="0" xfId="0">
      <alignment horizontal="center" vertical="center"/>
    </xf>
    <xf numFmtId="0" fontId="32" fillId="3" borderId="31" applyAlignment="1" pivotButton="0" quotePrefix="0" xfId="0">
      <alignment horizontal="right" vertical="center"/>
    </xf>
    <xf numFmtId="0" fontId="32" fillId="3" borderId="31" applyAlignment="1" pivotButton="0" quotePrefix="0" xfId="0">
      <alignment horizontal="left" vertical="center"/>
    </xf>
    <xf numFmtId="3" fontId="32" fillId="3" borderId="31" applyAlignment="1" pivotButton="0" quotePrefix="0" xfId="0">
      <alignment horizontal="right" vertical="center"/>
    </xf>
    <xf numFmtId="164" fontId="32" fillId="3" borderId="31" applyAlignment="1" pivotButton="0" quotePrefix="0" xfId="0">
      <alignment horizontal="right" vertical="center"/>
    </xf>
    <xf numFmtId="169" fontId="32" fillId="3" borderId="31" applyAlignment="1" pivotButton="0" quotePrefix="0" xfId="0">
      <alignment horizontal="right" vertical="center"/>
    </xf>
    <xf numFmtId="0" fontId="43" fillId="10" borderId="31" applyAlignment="1" pivotButton="0" quotePrefix="0" xfId="0">
      <alignment horizontal="center" vertical="center"/>
    </xf>
    <xf numFmtId="0" fontId="43" fillId="10" borderId="31" applyAlignment="1" pivotButton="0" quotePrefix="0" xfId="0">
      <alignment horizontal="left" vertical="center"/>
    </xf>
    <xf numFmtId="3" fontId="43" fillId="10" borderId="31" applyAlignment="1" pivotButton="0" quotePrefix="0" xfId="0">
      <alignment horizontal="center" vertical="center"/>
    </xf>
    <xf numFmtId="164" fontId="43" fillId="10" borderId="31" applyAlignment="1" pivotButton="0" quotePrefix="0" xfId="0">
      <alignment horizontal="center" vertical="center"/>
    </xf>
    <xf numFmtId="0" fontId="43" fillId="5" borderId="31" applyAlignment="1" pivotButton="0" quotePrefix="0" xfId="0">
      <alignment horizontal="center" vertical="center"/>
    </xf>
    <xf numFmtId="0" fontId="43" fillId="5" borderId="31" applyAlignment="1" pivotButton="0" quotePrefix="0" xfId="0">
      <alignment horizontal="left" vertical="center"/>
    </xf>
    <xf numFmtId="3" fontId="43" fillId="5" borderId="31" applyAlignment="1" pivotButton="0" quotePrefix="0" xfId="0">
      <alignment horizontal="center" vertical="center"/>
    </xf>
    <xf numFmtId="164" fontId="43" fillId="5" borderId="31" applyAlignment="1" pivotButton="0" quotePrefix="0" xfId="0">
      <alignment horizontal="center" vertical="center"/>
    </xf>
    <xf numFmtId="0" fontId="43" fillId="11" borderId="31" applyAlignment="1" pivotButton="0" quotePrefix="0" xfId="0">
      <alignment horizontal="center" vertical="center"/>
    </xf>
    <xf numFmtId="0" fontId="43" fillId="11" borderId="31" applyAlignment="1" pivotButton="0" quotePrefix="0" xfId="0">
      <alignment horizontal="left" vertical="center"/>
    </xf>
    <xf numFmtId="3" fontId="43" fillId="11" borderId="31" applyAlignment="1" pivotButton="0" quotePrefix="0" xfId="0">
      <alignment horizontal="center" vertical="center"/>
    </xf>
    <xf numFmtId="164" fontId="43" fillId="11" borderId="31" applyAlignment="1" pivotButton="0" quotePrefix="0" xfId="0">
      <alignment horizontal="center" vertical="center"/>
    </xf>
    <xf numFmtId="0" fontId="32" fillId="3" borderId="32" applyAlignment="1" pivotButton="0" quotePrefix="0" xfId="0">
      <alignment horizontal="center" vertical="center"/>
    </xf>
    <xf numFmtId="0" fontId="32" fillId="3" borderId="32" applyAlignment="1" pivotButton="0" quotePrefix="0" xfId="0">
      <alignment horizontal="right" vertical="center"/>
    </xf>
    <xf numFmtId="0" fontId="32" fillId="3" borderId="32" applyAlignment="1" pivotButton="0" quotePrefix="0" xfId="0">
      <alignment horizontal="left" vertical="center"/>
    </xf>
    <xf numFmtId="169" fontId="32" fillId="3" borderId="32" applyAlignment="1" pivotButton="0" quotePrefix="0" xfId="0">
      <alignment horizontal="right" vertical="center"/>
    </xf>
    <xf numFmtId="165" fontId="11" fillId="6" borderId="12" applyAlignment="1" pivotButton="0" quotePrefix="0" xfId="0">
      <alignment horizontal="right" vertical="center"/>
    </xf>
    <xf numFmtId="0" fontId="6" fillId="0" borderId="9" pivotButton="0" quotePrefix="0" xfId="0"/>
    <xf numFmtId="0" fontId="44" fillId="0" borderId="9" pivotButton="0" quotePrefix="0" xfId="0"/>
    <xf numFmtId="0" fontId="9" fillId="0" borderId="9" pivotButton="0" quotePrefix="0" xfId="0"/>
    <xf numFmtId="0" fontId="10" fillId="2" borderId="11" applyAlignment="1" pivotButton="0" quotePrefix="0" xfId="0">
      <alignment horizontal="center" vertical="center"/>
    </xf>
    <xf numFmtId="0" fontId="30" fillId="9" borderId="1" applyAlignment="1" pivotButton="0" quotePrefix="0" xfId="0">
      <alignment horizontal="left" vertical="center"/>
    </xf>
    <xf numFmtId="3" fontId="4" fillId="7" borderId="11" applyAlignment="1" pivotButton="0" quotePrefix="0" xfId="0">
      <alignment horizontal="right" vertical="center"/>
    </xf>
    <xf numFmtId="3" fontId="4" fillId="4" borderId="1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3" fontId="44" fillId="0" borderId="9" pivotButton="0" quotePrefix="0" xfId="0"/>
    <xf numFmtId="164" fontId="44" fillId="0" borderId="9" pivotButton="0" quotePrefix="0" xfId="0"/>
    <xf numFmtId="166" fontId="5" fillId="4" borderId="1" applyAlignment="1" pivotButton="0" quotePrefix="0" xfId="0">
      <alignment horizontal="right" vertical="center"/>
    </xf>
    <xf numFmtId="0" fontId="33" fillId="10" borderId="1" applyAlignment="1" pivotButton="0" quotePrefix="0" xfId="0">
      <alignment horizontal="left" vertical="center"/>
    </xf>
    <xf numFmtId="168" fontId="44" fillId="0" borderId="9" pivotButton="0" quotePrefix="0" xfId="0"/>
    <xf numFmtId="169" fontId="44" fillId="0" borderId="9" pivotButton="0" quotePrefix="0" xfId="0"/>
    <xf numFmtId="0" fontId="34" fillId="5" borderId="1" applyAlignment="1" pivotButton="0" quotePrefix="0" xfId="0">
      <alignment horizontal="left" vertical="center"/>
    </xf>
    <xf numFmtId="0" fontId="36" fillId="11" borderId="1" applyAlignment="1" pivotButton="0" quotePrefix="0" xfId="0">
      <alignment horizontal="left" vertical="center"/>
    </xf>
    <xf numFmtId="166" fontId="5" fillId="3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G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14" customWidth="1" min="5" max="5"/>
    <col width="24" customWidth="1" min="6" max="6"/>
    <col width="34" customWidth="1" min="7" max="7"/>
  </cols>
  <sheetData>
    <row r="1" ht="24" customHeight="1">
      <c r="A1" s="74" t="inlineStr">
        <is>
          <t>ИНВЕСТИЦИОННЫЙ ДАШБОРД И СВОДКА ПРОЕКТА — ФРУНЗЕ 17</t>
        </is>
      </c>
    </row>
    <row r="2" ht="18" customHeight="1">
      <c r="A2" s="116" t="inlineStr">
        <is>
          <t>Объект: г. Тула, ул. Фрунзе 17, кв. 76 (2-комн., 43.2 м², 5/5 эт.) | Стратегия: Флиппинг (цикл 2 месяца)</t>
        </is>
      </c>
    </row>
    <row r="4" ht="18" customHeight="1">
      <c r="A4" s="117" t="inlineStr">
        <is>
          <t>ПОКУПКА ОБЪЕКТА</t>
        </is>
      </c>
      <c r="B4" s="114" t="n"/>
      <c r="C4" s="117" t="inlineStr">
        <is>
          <t>БЮДЖЕТ РЕМОНТА</t>
        </is>
      </c>
      <c r="D4" s="117" t="inlineStr">
        <is>
          <t>ФАКТ ВЛОЖЕНО</t>
        </is>
      </c>
      <c r="E4" s="117" t="inlineStr">
        <is>
          <t>ТАРГЕТ ПРОДАЖИ</t>
        </is>
      </c>
      <c r="F4" s="117" t="inlineStr">
        <is>
          <t>ПЛАН. ПРИБЫЛЬ</t>
        </is>
      </c>
      <c r="G4" s="117" t="inlineStr">
        <is>
          <t>ПЛАН. ROI</t>
        </is>
      </c>
    </row>
    <row r="5" ht="26" customHeight="1">
      <c r="A5" s="118" t="n">
        <v>3900000</v>
      </c>
      <c r="B5" s="114" t="n"/>
      <c r="C5" s="118">
        <f>'План vs Рынок (Смета)'!E16</f>
        <v/>
      </c>
      <c r="D5" s="118">
        <f>'Факт расходов'!F83</f>
        <v/>
      </c>
      <c r="E5" s="118" t="n">
        <v>5600000</v>
      </c>
      <c r="F5" s="120">
        <f>C17</f>
        <v/>
      </c>
      <c r="G5" s="121">
        <f>C18</f>
        <v/>
      </c>
    </row>
    <row r="8" ht="24" customHeight="1">
      <c r="A8" s="160" t="inlineStr">
        <is>
          <t>1. ИНВЕСТИЦИОННАЯ МОДЕЛЬ СДЕЛКИ (ПОЛНАЯ СЕБЕСТОИМОСТЬ И ДОХОДНОСТЬ)</t>
        </is>
      </c>
    </row>
    <row r="9" ht="24" customHeight="1">
      <c r="A9" s="41" t="inlineStr">
        <is>
          <t>Статья инвестиций / Показатель</t>
        </is>
      </c>
      <c r="B9" s="42" t="inlineStr">
        <is>
          <t>Рынок / Базовый план (₽)</t>
        </is>
      </c>
      <c r="C9" s="42" t="inlineStr">
        <is>
          <t>Наш план / Факт (₽)</t>
        </is>
      </c>
      <c r="D9" s="42" t="inlineStr">
        <is>
          <t>Экономия / Выгода (₽)</t>
        </is>
      </c>
      <c r="E9" s="43" t="inlineStr">
        <is>
          <t>Статус</t>
        </is>
      </c>
      <c r="F9" s="41" t="inlineStr">
        <is>
          <t>Примечание / Обоснование</t>
        </is>
      </c>
      <c r="G9" s="161" t="n"/>
    </row>
    <row r="10" ht="20" customHeight="1">
      <c r="A10" s="49" t="inlineStr">
        <is>
          <t>1.1. Стоимость покупки объекта</t>
        </is>
      </c>
      <c r="B10" s="50" t="n">
        <v>3900000</v>
      </c>
      <c r="C10" s="51" t="n">
        <v>3900000</v>
      </c>
      <c r="D10" s="123">
        <f>B10-C10</f>
        <v/>
      </c>
      <c r="E10" s="64" t="inlineStr">
        <is>
          <t>Оплачено</t>
        </is>
      </c>
      <c r="F10" s="49" t="inlineStr">
        <is>
          <t>Базовый актив, договор купли-продажи</t>
        </is>
      </c>
      <c r="G10" s="146" t="n"/>
    </row>
    <row r="11" ht="20" customHeight="1">
      <c r="A11" s="44" t="inlineStr">
        <is>
          <t>1.2. Юр. оформление, пошлина, доступ, IT</t>
        </is>
      </c>
      <c r="B11" s="45" t="n">
        <v>23000</v>
      </c>
      <c r="C11" s="46">
        <f>SUMIF('Факт расходов'!C5:C82, "*Юр.*", 'Факт расходов'!F5:F82)+SUMIF('Факт расходов'!C5:C82, "*Безопасность*", 'Факт расходов'!F5:F82)+SUMIF('Факт расходов'!C5:C82, "*IT*", 'Факт расходов'!F5:F82)+SUMIF('Факт расходов'!C5:C82, "*Электроэнергия*", 'Факт расходов'!F5:F82)</f>
        <v/>
      </c>
      <c r="D11" s="124">
        <f>B11-C11</f>
        <v/>
      </c>
      <c r="E11" s="62" t="inlineStr">
        <is>
          <t>Оплачено</t>
        </is>
      </c>
      <c r="F11" s="44" t="inlineStr">
        <is>
          <t>ЭЦП (7к), Росреестр (5к), вскрытие (8к), AI (3к)</t>
        </is>
      </c>
      <c r="G11" s="146" t="n"/>
    </row>
    <row r="12" ht="20" customHeight="1">
      <c r="A12" s="49" t="inlineStr">
        <is>
          <t>1.3. Бюджет ремонта, стейджинга и клининга</t>
        </is>
      </c>
      <c r="B12" s="50">
        <f>'План vs Рынок (Смета)'!D16</f>
        <v/>
      </c>
      <c r="C12" s="51">
        <f>'План vs Рынок (Смета)'!E16</f>
        <v/>
      </c>
      <c r="D12" s="123">
        <f>B12-C12</f>
        <v/>
      </c>
      <c r="E12" s="64" t="inlineStr">
        <is>
          <t>В процессе</t>
        </is>
      </c>
      <c r="F12" s="49" t="inlineStr">
        <is>
          <t>Смета по 11 этапам (цель 621 000 ₽ vs рынок 825 000 ₽)</t>
        </is>
      </c>
      <c r="G12" s="146" t="n"/>
    </row>
    <row r="13" ht="20" customHeight="1">
      <c r="A13" s="44" t="inlineStr">
        <is>
          <t>1.4. Резерв на непредвиденные расходы</t>
        </is>
      </c>
      <c r="B13" s="45" t="n">
        <v>20000</v>
      </c>
      <c r="C13" s="46" t="n">
        <v>0</v>
      </c>
      <c r="D13" s="124">
        <f>B13-C13</f>
        <v/>
      </c>
      <c r="E13" s="62" t="inlineStr">
        <is>
          <t>В резерве</t>
        </is>
      </c>
      <c r="F13" s="44" t="inlineStr">
        <is>
          <t>Запас прочности на скрытые дефекты</t>
        </is>
      </c>
      <c r="G13" s="146" t="n"/>
    </row>
    <row r="14" ht="20" customHeight="1">
      <c r="A14" s="54" t="inlineStr">
        <is>
          <t>ИТОГО ПЛАНОВАЯ СЕБЕСТОИМОСТЬ ОБЪЕКТА:</t>
        </is>
      </c>
      <c r="B14" s="55">
        <f>SUM(B10:B13)</f>
        <v/>
      </c>
      <c r="C14" s="55">
        <f>SUM(C10:C13)</f>
        <v/>
      </c>
      <c r="D14" s="55">
        <f>SUM(D10:D13)</f>
        <v/>
      </c>
      <c r="E14" s="94" t="inlineStr">
        <is>
          <t>План</t>
        </is>
      </c>
      <c r="F14" s="125" t="inlineStr">
        <is>
          <t>Покупка (3.9М) + юристы (23к) + смета ремонта (621к)</t>
        </is>
      </c>
      <c r="G14" s="95" t="n"/>
    </row>
    <row r="15" ht="20" customHeight="1">
      <c r="A15" s="126" t="inlineStr">
        <is>
          <t>ТЕКУЩИЙ ФАКТ ОПЛАЧЕННЫХ СРЕДСТВ НА СЕГОДНЯ:</t>
        </is>
      </c>
      <c r="B15" s="127" t="n">
        <v>3923000</v>
      </c>
      <c r="C15" s="127">
        <f>C10+C11+C37</f>
        <v/>
      </c>
      <c r="D15" s="127">
        <f>B15-C15</f>
        <v/>
      </c>
      <c r="E15" s="128" t="inlineStr">
        <is>
          <t>Факт</t>
        </is>
      </c>
      <c r="F15" s="44" t="inlineStr">
        <is>
          <t>Покупка 3.9М + оформление 23к + факт ремонта 96.7к</t>
        </is>
      </c>
      <c r="G15" s="146" t="n"/>
    </row>
    <row r="16" ht="20" customHeight="1">
      <c r="A16" s="129" t="inlineStr">
        <is>
          <t>ЦЕЛЕВАЯ ВЫРУЧКА ОТ ПРОДАЖИ (ТАРГЕТ):</t>
        </is>
      </c>
      <c r="B16" s="130" t="n">
        <v>5600000</v>
      </c>
      <c r="C16" s="130" t="n">
        <v>5600000</v>
      </c>
      <c r="D16" s="130" t="inlineStr">
        <is>
          <t>-</t>
        </is>
      </c>
      <c r="E16" s="132" t="inlineStr">
        <is>
          <t>Таргет</t>
        </is>
      </c>
      <c r="F16" s="49" t="inlineStr">
        <is>
          <t>129 630 ₽/м² (верхняя планка Советского р-на)</t>
        </is>
      </c>
      <c r="G16" s="146" t="n"/>
    </row>
    <row r="17" ht="20" customHeight="1">
      <c r="A17" s="126" t="inlineStr">
        <is>
          <t>ПЛАНОВАЯ ЧИСТАЯ ПРИБЫЛЬ ИНВЕСТОРА:</t>
        </is>
      </c>
      <c r="B17" s="127">
        <f>B16-B14</f>
        <v/>
      </c>
      <c r="C17" s="124">
        <f>C16-C14</f>
        <v/>
      </c>
      <c r="D17" s="124">
        <f>C17-B17</f>
        <v/>
      </c>
      <c r="E17" s="128" t="inlineStr">
        <is>
          <t>Прибыль</t>
        </is>
      </c>
      <c r="F17" s="44" t="inlineStr">
        <is>
          <t>Чистый финансовый результат по итогам проекта</t>
        </is>
      </c>
      <c r="G17" s="146" t="n"/>
    </row>
    <row r="18" ht="20" customHeight="1">
      <c r="A18" s="129" t="inlineStr">
        <is>
          <t>РЕНТАБЕЛЬНОСТЬ ИНВЕСТИЦИЙ (ROI НА ЦИКЛ):</t>
        </is>
      </c>
      <c r="B18" s="133">
        <f>(B16-B14)/B14</f>
        <v/>
      </c>
      <c r="C18" s="134">
        <f>C17/C14</f>
        <v/>
      </c>
      <c r="D18" s="134">
        <f>C18-B18</f>
        <v/>
      </c>
      <c r="E18" s="132" t="inlineStr">
        <is>
          <t>ROI</t>
        </is>
      </c>
      <c r="F18" s="49" t="inlineStr">
        <is>
          <t>Доходность капитала за 2 месяца</t>
        </is>
      </c>
      <c r="G18" s="146" t="n"/>
    </row>
    <row r="21" ht="24" customHeight="1">
      <c r="A21" s="160" t="inlineStr">
        <is>
          <t>2. ОПЕРАЦИОННЫЙ ТРЕКЕР БЮДЖЕТА РЕМОНТА (ПЛАН VS ФАКТ VS ОСТАТОК)</t>
        </is>
      </c>
    </row>
    <row r="22" ht="24" customHeight="1">
      <c r="A22" s="41" t="inlineStr">
        <is>
          <t>Раздел сметы / Вид работ</t>
        </is>
      </c>
      <c r="B22" s="42" t="inlineStr">
        <is>
          <t>План сметы (₽)</t>
        </is>
      </c>
      <c r="C22" s="42" t="inlineStr">
        <is>
          <t>Факт оплачено (₽)</t>
        </is>
      </c>
      <c r="D22" s="42" t="inlineStr">
        <is>
          <t>Остаток к оплате (₽)</t>
        </is>
      </c>
      <c r="E22" s="43" t="inlineStr">
        <is>
          <t>Освоено</t>
        </is>
      </c>
      <c r="F22" s="41" t="inlineStr">
        <is>
          <t>Статус выполнения</t>
        </is>
      </c>
      <c r="G22" s="41" t="inlineStr">
        <is>
          <t>Текущий факт / Примечание</t>
        </is>
      </c>
    </row>
    <row r="23" ht="20" customHeight="1">
      <c r="A23" s="44" t="inlineStr">
        <is>
          <t>1. Демонтаж, зачистка, вывоз мусора</t>
        </is>
      </c>
      <c r="B23" s="45">
        <f>'План vs Рынок (Смета)'!E5</f>
        <v/>
      </c>
      <c r="C23" s="46">
        <f>SUMIF('Факт расходов'!C5:C82, "*Демонтаж*", 'Факт расходов'!F5:F82)</f>
        <v/>
      </c>
      <c r="D23" s="45">
        <f>B23-C23</f>
        <v/>
      </c>
      <c r="E23" s="135">
        <f>IFERROR(C23/B23, 0)</f>
        <v/>
      </c>
      <c r="F23" s="62" t="inlineStr">
        <is>
          <t>В работе</t>
        </is>
      </c>
      <c r="G23" s="44" t="inlineStr">
        <is>
          <t>Контейнер 8.5к + сосед 1к + бригада 16к (25.5к)</t>
        </is>
      </c>
    </row>
    <row r="24" ht="20" customHeight="1">
      <c r="A24" s="49" t="inlineStr">
        <is>
          <t>2. Входная группа (дверь, доставка, монтаж)</t>
        </is>
      </c>
      <c r="B24" s="50">
        <f>'План vs Рынок (Смета)'!E6</f>
        <v/>
      </c>
      <c r="C24" s="51">
        <f>SUMIF('Факт расходов'!C5:C82, "*Двери*", 'Факт расходов'!F5:F82)</f>
        <v/>
      </c>
      <c r="D24" s="50">
        <f>B24-C24</f>
        <v/>
      </c>
      <c r="E24" s="136">
        <f>IFERROR(C24/B24, 0)</f>
        <v/>
      </c>
      <c r="F24" s="64" t="inlineStr">
        <is>
          <t>Выполнено</t>
        </is>
      </c>
      <c r="G24" s="49" t="inlineStr">
        <is>
          <t>Дверь 16к + доставка 1.5к + монтаж 9к (26.5к под ключ)</t>
        </is>
      </c>
    </row>
    <row r="25" ht="20" customHeight="1">
      <c r="A25" s="44" t="inlineStr">
        <is>
          <t>3. Электрика ГОСТ (материалы + работы)</t>
        </is>
      </c>
      <c r="B25" s="45">
        <f>'План vs Рынок (Смета)'!E7</f>
        <v/>
      </c>
      <c r="C25" s="46">
        <f>SUMIF('Факт расходов'!C5:C82, "*Электрика*", 'Факт расходов'!F5:F82)</f>
        <v/>
      </c>
      <c r="D25" s="45">
        <f>B25-C25</f>
        <v/>
      </c>
      <c r="E25" s="135">
        <f>IFERROR(C25/B25, 0)</f>
        <v/>
      </c>
      <c r="F25" s="62" t="inlineStr">
        <is>
          <t>Разведено / Собрано</t>
        </is>
      </c>
      <c r="G25" s="44" t="inlineStr">
        <is>
          <t>Работы 50к + материалы 48.5к (итого 98.5к под ключ)</t>
        </is>
      </c>
    </row>
    <row r="26" ht="20" customHeight="1">
      <c r="A26" s="49" t="inlineStr">
        <is>
          <t>4. Сантехника (разводка PPR, ванна 150)</t>
        </is>
      </c>
      <c r="B26" s="50">
        <f>'План vs Рынок (Смета)'!E8</f>
        <v/>
      </c>
      <c r="C26" s="51">
        <f>SUMIF('Факт расходов'!C5:C82, "*Сантехника*", 'Факт расходов'!F5:F82)</f>
        <v/>
      </c>
      <c r="D26" s="50">
        <f>B26-C26</f>
        <v/>
      </c>
      <c r="E26" s="136">
        <f>IFERROR(C26/B26, 0)</f>
        <v/>
      </c>
      <c r="F26" s="64" t="inlineStr">
        <is>
          <t>Ввод / Стояки</t>
        </is>
      </c>
      <c r="G26" s="49" t="inlineStr">
        <is>
          <t>Краны и счётчик 4.1к закрыты, далее трассы</t>
        </is>
      </c>
    </row>
    <row r="27" ht="20" customHeight="1">
      <c r="A27" s="44" t="inlineStr">
        <is>
          <t>5. Газ и вентиляция (ВДПО, квитанции, срезка)</t>
        </is>
      </c>
      <c r="B27" s="45" t="n">
        <v>5000</v>
      </c>
      <c r="C27" s="46">
        <f>SUMIF('Факт расходов'!C5:C82, "*Газ*", 'Факт расходов'!F5:F82)</f>
        <v/>
      </c>
      <c r="D27" s="45">
        <f>B27-C27</f>
        <v/>
      </c>
      <c r="E27" s="135">
        <f>IFERROR(C27/B27, 0)</f>
        <v/>
      </c>
      <c r="F27" s="62" t="inlineStr">
        <is>
          <t>Согласование</t>
        </is>
      </c>
      <c r="G27" s="44" t="inlineStr">
        <is>
          <t>Акт ВДПО 1.5к + платежки 0.8к закрыты</t>
        </is>
      </c>
    </row>
    <row r="28" ht="20" customHeight="1">
      <c r="A28" s="49" t="inlineStr">
        <is>
          <t>6. Перепланировка гардеробной (ГКЛ)</t>
        </is>
      </c>
      <c r="B28" s="50">
        <f>'План vs Рынок (Смета)'!E9</f>
        <v/>
      </c>
      <c r="C28" s="51" t="n">
        <v>0</v>
      </c>
      <c r="D28" s="50">
        <f>B28-C28</f>
        <v/>
      </c>
      <c r="E28" s="136">
        <f>IFERROR(C28/B28, 0)</f>
        <v/>
      </c>
      <c r="F28" s="64" t="inlineStr">
        <is>
          <t>План</t>
        </is>
      </c>
      <c r="G28" s="49" t="inlineStr">
        <is>
          <t>Зашивка двери из зала + проем из спальни</t>
        </is>
      </c>
    </row>
    <row r="29" ht="20" customHeight="1">
      <c r="A29" s="44" t="inlineStr">
        <is>
          <t>7. Черновая отделка (полы саморезы, с/у)</t>
        </is>
      </c>
      <c r="B29" s="45">
        <f>'План vs Рынок (Смета)'!E10</f>
        <v/>
      </c>
      <c r="C29" s="46">
        <f>SUMIF('Факт расходов'!C5:C82, "*Черновая*", 'Факт расходов'!F5:F82)</f>
        <v/>
      </c>
      <c r="D29" s="45">
        <f>B29-C29</f>
        <v/>
      </c>
      <c r="E29" s="135">
        <f>IFERROR(C29/B29, 0)</f>
        <v/>
      </c>
      <c r="F29" s="62" t="inlineStr">
        <is>
          <t>План</t>
        </is>
      </c>
      <c r="G29" s="44" t="inlineStr">
        <is>
          <t>Протяжка лаг желтыми саморезами без стяжки</t>
        </is>
      </c>
    </row>
    <row r="30" ht="20" customHeight="1">
      <c r="A30" s="49" t="inlineStr">
        <is>
          <t>8. Чистовая отделка (обои греж, ламинат 33кл)</t>
        </is>
      </c>
      <c r="B30" s="50">
        <f>'План vs Рынок (Смета)'!E11</f>
        <v/>
      </c>
      <c r="C30" s="51">
        <f>SUMIF('Факт расходов'!C5:C82, "*Чистовая*", 'Факт расходов'!F5:F82)</f>
        <v/>
      </c>
      <c r="D30" s="50">
        <f>B30-C30</f>
        <v/>
      </c>
      <c r="E30" s="136">
        <f>IFERROR(C30/B30, 0)</f>
        <v/>
      </c>
      <c r="F30" s="64" t="inlineStr">
        <is>
          <t>План</t>
        </is>
      </c>
      <c r="G30" s="49" t="inlineStr">
        <is>
          <t>Единый контур светлый дуб, плинтус 80мм</t>
        </is>
      </c>
    </row>
    <row r="31" ht="20" customHeight="1">
      <c r="A31" s="44" t="inlineStr">
        <is>
          <t>9. Натяжные матовые потолки + споты</t>
        </is>
      </c>
      <c r="B31" s="45">
        <f>'План vs Рынок (Смета)'!E12</f>
        <v/>
      </c>
      <c r="C31" s="46" t="n">
        <v>0</v>
      </c>
      <c r="D31" s="45">
        <f>B31-C31</f>
        <v/>
      </c>
      <c r="E31" s="135">
        <f>IFERROR(C31/B31, 0)</f>
        <v/>
      </c>
      <c r="F31" s="62" t="inlineStr">
        <is>
          <t>План</t>
        </is>
      </c>
      <c r="G31" s="44" t="inlineStr">
        <is>
          <t>Матовый сатин, треки/споты по зонам</t>
        </is>
      </c>
    </row>
    <row r="32" ht="20" customHeight="1">
      <c r="A32" s="49" t="inlineStr">
        <is>
          <t>10. Межкомнатные двери (3 комплекта)</t>
        </is>
      </c>
      <c r="B32" s="50">
        <f>'План vs Рынок (Смета)'!E13</f>
        <v/>
      </c>
      <c r="C32" s="51" t="n">
        <v>0</v>
      </c>
      <c r="D32" s="50">
        <f>B32-C32</f>
        <v/>
      </c>
      <c r="E32" s="136">
        <f>IFERROR(C32/B32, 0)</f>
        <v/>
      </c>
      <c r="F32" s="64" t="inlineStr">
        <is>
          <t>План</t>
        </is>
      </c>
      <c r="G32" s="49" t="inlineStr">
        <is>
          <t>Белые царговые глухие полотна с магнитными замками</t>
        </is>
      </c>
    </row>
    <row r="33" ht="20" customHeight="1">
      <c r="A33" s="44" t="inlineStr">
        <is>
          <t>11. Кухонный гарнитур + колонка Mora</t>
        </is>
      </c>
      <c r="B33" s="45">
        <f>'План vs Рынок (Смета)'!E14</f>
        <v/>
      </c>
      <c r="C33" s="46" t="n">
        <v>0</v>
      </c>
      <c r="D33" s="45">
        <f>B33-C33</f>
        <v/>
      </c>
      <c r="E33" s="135">
        <f>IFERROR(C33/B33, 0)</f>
        <v/>
      </c>
      <c r="F33" s="62" t="inlineStr">
        <is>
          <t>План</t>
        </is>
      </c>
      <c r="G33" s="44" t="inlineStr">
        <is>
          <t>Модульная кухня с интеграцией колонки (заказ Неделя 2)</t>
        </is>
      </c>
    </row>
    <row r="34" ht="20" customHeight="1">
      <c r="A34" s="49" t="inlineStr">
        <is>
          <t>12. Стейджинг, освещение, декор, клининг</t>
        </is>
      </c>
      <c r="B34" s="50">
        <f>'План vs Рынок (Смета)'!E15</f>
        <v/>
      </c>
      <c r="C34" s="51" t="n">
        <v>0</v>
      </c>
      <c r="D34" s="50">
        <f>B34-C34</f>
        <v/>
      </c>
      <c r="E34" s="136">
        <f>IFERROR(C34/B34, 0)</f>
        <v/>
      </c>
      <c r="F34" s="64" t="inlineStr">
        <is>
          <t>План</t>
        </is>
      </c>
      <c r="G34" s="49" t="inlineStr">
        <is>
          <t>Минималистичный интерьерный декор под верх планки</t>
        </is>
      </c>
    </row>
    <row r="35" ht="20" customHeight="1">
      <c r="A35" s="44" t="inlineStr">
        <is>
          <t>13. Инструмент и расходники (хозмаг/Лемана)</t>
        </is>
      </c>
      <c r="B35" s="45" t="n">
        <v>10000</v>
      </c>
      <c r="C35" s="46">
        <f>SUMIF('Факт расходов'!C5:C82, "*Инструмент*", 'Факт расходов'!F5:F82)+SUMIF('Факт расходов'!C5:C82, "*Расходные*", 'Факт расходов'!F5:F82)+SUMIF('Факт расходов'!C5:C82, "*Логистика*", 'Факт расходов'!F5:F82)</f>
        <v/>
      </c>
      <c r="D35" s="45">
        <f>B35-C35</f>
        <v/>
      </c>
      <c r="E35" s="135">
        <f>IFERROR(C35/B35, 0)</f>
        <v/>
      </c>
      <c r="F35" s="62" t="inlineStr">
        <is>
          <t>В процессе</t>
        </is>
      </c>
      <c r="G35" s="44" t="inlineStr">
        <is>
          <t>Лом, мешки, пылесос, перчатки (2 847 ₽)</t>
        </is>
      </c>
    </row>
    <row r="36" ht="20" customHeight="1">
      <c r="A36" s="49" t="inlineStr">
        <is>
          <t>14. Мелкие хозрасходы и вспомогательные траты</t>
        </is>
      </c>
      <c r="B36" s="50" t="n">
        <v>5000</v>
      </c>
      <c r="C36" s="51">
        <f>SUMIF('Факт расходов'!C5:C82, "*Оснащение*", 'Факт расходов'!F5:F82)</f>
        <v/>
      </c>
      <c r="D36" s="50">
        <f>B36-C36</f>
        <v/>
      </c>
      <c r="E36" s="136">
        <f>IFERROR(C36/B36, 0)</f>
        <v/>
      </c>
      <c r="F36" s="64" t="inlineStr">
        <is>
          <t>По факту</t>
        </is>
      </c>
      <c r="G36" s="49" t="inlineStr">
        <is>
          <t>Расходники для зачистки (300 ₽)</t>
        </is>
      </c>
    </row>
    <row r="37" ht="20" customHeight="1">
      <c r="A37" s="54" t="inlineStr">
        <is>
          <t>ИТОГО ПО СМЕТЕ РЕМОНТА:</t>
        </is>
      </c>
      <c r="B37" s="55">
        <f>SUM(B23:B36)</f>
        <v/>
      </c>
      <c r="C37" s="55">
        <f>SUM(C23:C36)</f>
        <v/>
      </c>
      <c r="D37" s="55">
        <f>SUM(D23:D36)</f>
        <v/>
      </c>
      <c r="E37" s="100">
        <f>IFERROR(C37/B37, 0)</f>
        <v/>
      </c>
      <c r="F37" s="137" t="inlineStr">
        <is>
          <t>В графике</t>
        </is>
      </c>
      <c r="G37" s="125" t="inlineStr">
        <is>
          <t>Текущее освоение бюджета</t>
        </is>
      </c>
    </row>
    <row r="40" ht="24" customHeight="1">
      <c r="A40" s="160" t="inlineStr">
        <is>
          <t>3. КАРТА ЭКОНОМИИ ИНВЕСТОРА (ОПТИМИЗАЦИЯ УЗЛОВ + СКИДКИ НА ЗАКУПКАХ)</t>
        </is>
      </c>
    </row>
    <row r="41" ht="24" customHeight="1">
      <c r="A41" s="41" t="inlineStr">
        <is>
          <t>Статья оптимизации / Инженерный узел</t>
        </is>
      </c>
      <c r="B41" s="42" t="inlineStr">
        <is>
          <t>Рыночная цена (₽)</t>
        </is>
      </c>
      <c r="C41" s="42" t="inlineStr">
        <is>
          <t>Наша цена (₽)</t>
        </is>
      </c>
      <c r="D41" s="42" t="inlineStr">
        <is>
          <t>Чистая экономия (₽)</t>
        </is>
      </c>
      <c r="E41" s="43" t="inlineStr">
        <is>
          <t>% Выгоды</t>
        </is>
      </c>
      <c r="F41" s="41" t="inlineStr">
        <is>
          <t>Обоснование / Способ оптимизации</t>
        </is>
      </c>
      <c r="G41" s="161" t="n"/>
    </row>
    <row r="42" ht="20" customHeight="1">
      <c r="A42" s="49" t="inlineStr">
        <is>
          <t>3.1. Окна ПВХ (сохранены во всей квартире)</t>
        </is>
      </c>
      <c r="B42" s="50" t="n">
        <v>120000</v>
      </c>
      <c r="C42" s="50" t="n">
        <v>0</v>
      </c>
      <c r="D42" s="123">
        <f>B42-C42</f>
        <v/>
      </c>
      <c r="E42" s="134">
        <f>IFERROR(D42/B42, 0)</f>
        <v/>
      </c>
      <c r="F42" s="49" t="inlineStr">
        <is>
          <t>Сохранены все стеклопакеты и балконный блок (регулировка + откосы)</t>
        </is>
      </c>
      <c r="G42" s="146" t="n"/>
    </row>
    <row r="43" ht="20" customHeight="1">
      <c r="A43" s="44" t="inlineStr">
        <is>
          <t>3.2. Стояк канализации 110 мм (сохранен)</t>
        </is>
      </c>
      <c r="B43" s="45" t="n">
        <v>15000</v>
      </c>
      <c r="C43" s="45" t="n">
        <v>0</v>
      </c>
      <c r="D43" s="124">
        <f>B43-C43</f>
        <v/>
      </c>
      <c r="E43" s="138">
        <f>IFERROR(D43/B43, 0)</f>
        <v/>
      </c>
      <c r="F43" s="44" t="inlineStr">
        <is>
          <t>Уже заменён на пластик ПВХ/ПП 110мм, перекрытия долбить не нужно</t>
        </is>
      </c>
      <c r="G43" s="146" t="n"/>
    </row>
    <row r="44" ht="20" customHeight="1">
      <c r="A44" s="49" t="inlineStr">
        <is>
          <t>3.3. Электросчётчик (новый прибор учёта)</t>
        </is>
      </c>
      <c r="B44" s="50" t="n">
        <v>0</v>
      </c>
      <c r="C44" s="50" t="n">
        <v>0</v>
      </c>
      <c r="D44" s="123" t="n">
        <v>0</v>
      </c>
      <c r="E44" s="134">
        <f>IFERROR(D44/B44, 0)</f>
        <v/>
      </c>
      <c r="F44" s="49" t="inlineStr">
        <is>
          <t>Новый счётчик закуплен в составе материалов (поз. 17 на 16.5к); распломбировка 2.5к закрыта</t>
        </is>
      </c>
      <c r="G44" s="146" t="n"/>
    </row>
    <row r="45" ht="20" customHeight="1">
      <c r="A45" s="44" t="inlineStr">
        <is>
          <t>3.4. Фактическая экономия на закупках и работах</t>
        </is>
      </c>
      <c r="B45" s="45">
        <f>'Факт расходов'!E83</f>
        <v/>
      </c>
      <c r="C45" s="45">
        <f>'Факт расходов'!F83</f>
        <v/>
      </c>
      <c r="D45" s="124">
        <f>B45-C45</f>
        <v/>
      </c>
      <c r="E45" s="138">
        <f>IFERROR(D45/B45, 0)</f>
        <v/>
      </c>
      <c r="F45" s="44" t="inlineStr">
        <is>
          <t>Скидки от поставщиков (дверь -6к, кабель -2к, мусор -0.5к, демонтаж -4к и др.)</t>
        </is>
      </c>
      <c r="G45" s="146" t="n"/>
    </row>
    <row r="46" ht="20" customHeight="1">
      <c r="A46" s="54" t="inlineStr">
        <is>
          <t>ИТОГО СБЕРЕЖЁННЫЙ КАПИТАЛ ИНВЕСТОРА:</t>
        </is>
      </c>
      <c r="B46" s="55">
        <f>SUM(B42:B45)</f>
        <v/>
      </c>
      <c r="C46" s="55">
        <f>SUM(C42:C45)</f>
        <v/>
      </c>
      <c r="D46" s="55">
        <f>SUM(D42:D45)</f>
        <v/>
      </c>
      <c r="E46" s="139">
        <f>IFERROR(D46/B46, 0)</f>
        <v/>
      </c>
      <c r="F46" s="125" t="inlineStr">
        <is>
          <t>Прямой вклад в повышение маржинальности сделки</t>
        </is>
      </c>
      <c r="G46" s="95" t="n"/>
    </row>
  </sheetData>
  <mergeCells count="23">
    <mergeCell ref="F11:G11"/>
    <mergeCell ref="A8:G8"/>
    <mergeCell ref="F10:G10"/>
    <mergeCell ref="F16:G16"/>
    <mergeCell ref="F12:G12"/>
    <mergeCell ref="A40:G40"/>
    <mergeCell ref="F15:G15"/>
    <mergeCell ref="F18:G18"/>
    <mergeCell ref="F45:G45"/>
    <mergeCell ref="F42:G42"/>
    <mergeCell ref="F41:G41"/>
    <mergeCell ref="F17:G17"/>
    <mergeCell ref="A1:G1"/>
    <mergeCell ref="A5:B5"/>
    <mergeCell ref="F46:G46"/>
    <mergeCell ref="F13:G13"/>
    <mergeCell ref="F9:G9"/>
    <mergeCell ref="A4:B4"/>
    <mergeCell ref="F43:G43"/>
    <mergeCell ref="A21:G21"/>
    <mergeCell ref="A2:G2"/>
    <mergeCell ref="F14:G14"/>
    <mergeCell ref="F44:G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O10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6" customWidth="1" min="3" max="3"/>
    <col width="42" customWidth="1" min="4" max="4"/>
    <col width="18" customWidth="1" min="5" max="5"/>
    <col width="18" customWidth="1" min="6" max="6"/>
    <col width="16" customWidth="1" min="7" max="7"/>
    <col width="14" customWidth="1" min="8" max="8"/>
    <col width="26" customWidth="1" min="9" max="9"/>
    <col width="45" customWidth="1" min="10" max="10"/>
  </cols>
  <sheetData>
    <row r="1" ht="24" customHeight="1">
      <c r="A1" s="38" t="inlineStr">
        <is>
          <t>ЖУРНАЛ ФАКТИЧЕСКИХ РАСХОДОВ — ФРУНЗЕ 17</t>
        </is>
      </c>
      <c r="K1" s="140" t="n"/>
      <c r="L1" s="140" t="n"/>
      <c r="M1" s="140" t="n"/>
      <c r="N1" s="140" t="n"/>
      <c r="O1" s="140" t="n"/>
    </row>
    <row r="2" ht="18" customHeight="1">
      <c r="A2" s="39" t="inlineStr">
        <is>
          <t>Объект: г. Тула, ул. Фрунзе 17, кв. 76 (2-комн., 43.2 м²) | Флиппинг</t>
        </is>
      </c>
      <c r="K2" s="140" t="n"/>
      <c r="L2" s="140" t="n"/>
      <c r="M2" s="140" t="n"/>
      <c r="N2" s="140" t="n"/>
      <c r="O2" s="140" t="n"/>
    </row>
    <row r="3">
      <c r="K3" s="140" t="n"/>
      <c r="L3" s="140" t="n"/>
      <c r="M3" s="140" t="n"/>
      <c r="N3" s="140" t="n"/>
      <c r="O3" s="140" t="n"/>
    </row>
    <row r="4" ht="24" customHeight="1">
      <c r="A4" s="43" t="inlineStr">
        <is>
          <t>№</t>
        </is>
      </c>
      <c r="B4" s="43" t="inlineStr">
        <is>
          <t>Дата</t>
        </is>
      </c>
      <c r="C4" s="41" t="inlineStr">
        <is>
          <t>Категория</t>
        </is>
      </c>
      <c r="D4" s="41" t="inlineStr">
        <is>
          <t>Наименование расхода / Работы</t>
        </is>
      </c>
      <c r="E4" s="42" t="inlineStr">
        <is>
          <t>Рыночная цена (₽)</t>
        </is>
      </c>
      <c r="F4" s="42" t="inlineStr">
        <is>
          <t>Факт оплачено (₽)</t>
        </is>
      </c>
      <c r="G4" s="42" t="inlineStr">
        <is>
          <t>Экономия (₽)</t>
        </is>
      </c>
      <c r="H4" s="43" t="inlineStr">
        <is>
          <t>% Экономии</t>
        </is>
      </c>
      <c r="I4" s="41" t="inlineStr">
        <is>
          <t>Исполнитель / Поставщик</t>
        </is>
      </c>
      <c r="J4" s="41" t="inlineStr">
        <is>
          <t>Примечание / Чек</t>
        </is>
      </c>
      <c r="K4" s="140" t="n"/>
      <c r="L4" s="140" t="n"/>
      <c r="M4" s="140" t="n"/>
      <c r="N4" s="140" t="n"/>
      <c r="O4" s="140" t="n"/>
    </row>
    <row r="5" ht="20" customHeight="1">
      <c r="A5" s="62" t="n">
        <v>1</v>
      </c>
      <c r="B5" s="62" t="inlineStr">
        <is>
          <t>18.08.2026</t>
        </is>
      </c>
      <c r="C5" s="44" t="inlineStr">
        <is>
          <t>Юр. оформление / Торги</t>
        </is>
      </c>
      <c r="D5" s="44" t="inlineStr">
        <is>
          <t>Выпуск ЭЦП (электронная цифровая подпись)</t>
        </is>
      </c>
      <c r="E5" s="45" t="n">
        <v>7000</v>
      </c>
      <c r="F5" s="46" t="n">
        <v>7000</v>
      </c>
      <c r="G5" s="47">
        <f>E5-F5</f>
        <v/>
      </c>
      <c r="H5" s="63">
        <f>IFERROR(G5/E5, 0)</f>
        <v/>
      </c>
      <c r="I5" s="44" t="inlineStr">
        <is>
          <t>УЦ / Контур</t>
        </is>
      </c>
      <c r="J5" s="44" t="inlineStr">
        <is>
          <t>Для участия в торгах и регистрации</t>
        </is>
      </c>
      <c r="K5" s="30" t="n"/>
      <c r="L5" s="30" t="n"/>
      <c r="M5" s="30" t="n"/>
      <c r="N5" s="30" t="n"/>
      <c r="O5" s="140" t="n"/>
    </row>
    <row r="6" ht="20" customHeight="1">
      <c r="A6" s="64" t="n">
        <v>2</v>
      </c>
      <c r="B6" s="64" t="inlineStr">
        <is>
          <t>18.08.2026</t>
        </is>
      </c>
      <c r="C6" s="49" t="inlineStr">
        <is>
          <t>Юр. оформление / Торги</t>
        </is>
      </c>
      <c r="D6" s="49" t="inlineStr">
        <is>
          <t>Государственная пошлина (регистрация права)</t>
        </is>
      </c>
      <c r="E6" s="50" t="n">
        <v>5000</v>
      </c>
      <c r="F6" s="51" t="n">
        <v>5000</v>
      </c>
      <c r="G6" s="47">
        <f>E6-F6</f>
        <v/>
      </c>
      <c r="H6" s="63">
        <f>IFERROR(G6/E6, 0)</f>
        <v/>
      </c>
      <c r="I6" s="49" t="inlineStr">
        <is>
          <t>Росреестр</t>
        </is>
      </c>
      <c r="J6" s="49" t="inlineStr">
        <is>
          <t>Госпошлина за переход права</t>
        </is>
      </c>
      <c r="K6" s="30" t="n"/>
      <c r="L6" s="30" t="n"/>
      <c r="M6" s="30" t="n"/>
      <c r="N6" s="30" t="n"/>
      <c r="O6" s="140" t="n"/>
    </row>
    <row r="7" ht="20" customHeight="1">
      <c r="A7" s="62" t="n">
        <v>3</v>
      </c>
      <c r="B7" s="62" t="inlineStr">
        <is>
          <t>18.08.2026</t>
        </is>
      </c>
      <c r="C7" s="44" t="inlineStr">
        <is>
          <t>Безопасность / Доступ</t>
        </is>
      </c>
      <c r="D7" s="44" t="inlineStr">
        <is>
          <t>Вскрытие старого замка и обеспечение доступа</t>
        </is>
      </c>
      <c r="E7" s="45" t="n">
        <v>8000</v>
      </c>
      <c r="F7" s="46" t="n">
        <v>8000</v>
      </c>
      <c r="G7" s="47">
        <f>E7-F7</f>
        <v/>
      </c>
      <c r="H7" s="63">
        <f>IFERROR(G7/E7, 0)</f>
        <v/>
      </c>
      <c r="I7" s="44" t="inlineStr">
        <is>
          <t>Служба вскрытия</t>
        </is>
      </c>
      <c r="J7" s="44" t="inlineStr">
        <is>
          <t>Аварийное открытие входной двери объекта</t>
        </is>
      </c>
      <c r="K7" s="30" t="n"/>
      <c r="L7" s="30" t="n"/>
      <c r="M7" s="30" t="n"/>
      <c r="N7" s="30" t="n"/>
      <c r="O7" s="140" t="n"/>
    </row>
    <row r="8" ht="20" customHeight="1">
      <c r="A8" s="64" t="n">
        <v>4</v>
      </c>
      <c r="B8" s="64" t="inlineStr">
        <is>
          <t>22.08.2026</t>
        </is>
      </c>
      <c r="C8" s="49" t="inlineStr">
        <is>
          <t>Демонтаж и зачистка</t>
        </is>
      </c>
      <c r="D8" s="49" t="inlineStr">
        <is>
          <t>Заказ мусорного контейнера 8 м³</t>
        </is>
      </c>
      <c r="E8" s="50" t="n">
        <v>9000</v>
      </c>
      <c r="F8" s="51" t="n">
        <v>8500</v>
      </c>
      <c r="G8" s="47">
        <f>E8-F8</f>
        <v/>
      </c>
      <c r="H8" s="63">
        <f>IFERROR(G8/E8, 0)</f>
        <v/>
      </c>
      <c r="I8" s="49" t="inlineStr">
        <is>
          <t>Елена (вывоз мусора)</t>
        </is>
      </c>
      <c r="J8" s="49" t="inlineStr">
        <is>
          <t>Вывоз мебели, санузла, чугуна и строительного боя (скидка 500 ₽)</t>
        </is>
      </c>
      <c r="K8" s="30" t="n"/>
      <c r="L8" s="30" t="n"/>
      <c r="M8" s="30" t="n"/>
      <c r="N8" s="30" t="n"/>
      <c r="O8" s="140" t="n"/>
    </row>
    <row r="9" ht="20" customHeight="1">
      <c r="A9" s="62" t="n">
        <v>5</v>
      </c>
      <c r="B9" s="62" t="inlineStr">
        <is>
          <t>22.08.2026</t>
        </is>
      </c>
      <c r="C9" s="44" t="inlineStr">
        <is>
          <t>Демонтаж и зачистка</t>
        </is>
      </c>
      <c r="D9" s="44" t="inlineStr">
        <is>
          <t>Аренда/помощь инструментом соседа</t>
        </is>
      </c>
      <c r="E9" s="45" t="n">
        <v>2500</v>
      </c>
      <c r="F9" s="46" t="n">
        <v>1000</v>
      </c>
      <c r="G9" s="47">
        <f>E9-F9</f>
        <v/>
      </c>
      <c r="H9" s="63">
        <f>IFERROR(G9/E9, 0)</f>
        <v/>
      </c>
      <c r="I9" s="44" t="inlineStr">
        <is>
          <t>Сосед по дому</t>
        </is>
      </c>
      <c r="J9" s="44" t="inlineStr">
        <is>
          <t>Перфоратор/монтировки/инструмент (экономия 1 500 ₽)</t>
        </is>
      </c>
      <c r="K9" s="30" t="n"/>
      <c r="L9" s="30" t="n"/>
      <c r="M9" s="30" t="n"/>
      <c r="N9" s="30" t="n"/>
      <c r="O9" s="140" t="n"/>
    </row>
    <row r="10" ht="20" customHeight="1">
      <c r="A10" s="64" t="n">
        <v>6</v>
      </c>
      <c r="B10" s="64" t="inlineStr">
        <is>
          <t>22.08.2026</t>
        </is>
      </c>
      <c r="C10" s="49" t="inlineStr">
        <is>
          <t>Расходные материалы</t>
        </is>
      </c>
      <c r="D10" s="49" t="inlineStr">
        <is>
          <t>Мешки мусорные плотные, перчатки рабочие</t>
        </is>
      </c>
      <c r="E10" s="50" t="n">
        <v>500</v>
      </c>
      <c r="F10" s="51" t="n">
        <v>300</v>
      </c>
      <c r="G10" s="47">
        <f>E10-F10</f>
        <v/>
      </c>
      <c r="H10" s="63">
        <f>IFERROR(G10/E10, 0)</f>
        <v/>
      </c>
      <c r="I10" s="49" t="inlineStr">
        <is>
          <t>Хозмаг / Рынок</t>
        </is>
      </c>
      <c r="J10" s="49" t="inlineStr">
        <is>
          <t>Расходники для сбора и выноса строительного мусора</t>
        </is>
      </c>
      <c r="K10" s="30" t="n"/>
      <c r="L10" s="30" t="n"/>
      <c r="M10" s="30" t="n"/>
      <c r="N10" s="30" t="n"/>
      <c r="O10" s="140" t="n"/>
    </row>
    <row r="11" ht="20" customHeight="1">
      <c r="A11" s="62" t="n">
        <v>7</v>
      </c>
      <c r="B11" s="62" t="inlineStr">
        <is>
          <t>22.08.2026</t>
        </is>
      </c>
      <c r="C11" s="44" t="inlineStr">
        <is>
          <t>Демонтаж и зачистка</t>
        </is>
      </c>
      <c r="D11" s="44" t="inlineStr">
        <is>
          <t>Оплата работы бригады (4 чел., 28 чел.-час, спуск с 5 этажа)</t>
        </is>
      </c>
      <c r="E11" s="45" t="n">
        <v>20000</v>
      </c>
      <c r="F11" s="46" t="n">
        <v>16000</v>
      </c>
      <c r="G11" s="47">
        <f>E11-F11</f>
        <v/>
      </c>
      <c r="H11" s="63">
        <f>IFERROR(G11/E11, 0)</f>
        <v/>
      </c>
      <c r="I11" s="44" t="inlineStr">
        <is>
          <t>Бригада разнорабочих</t>
        </is>
      </c>
      <c r="J11" s="44" t="inlineStr">
        <is>
          <t>4 чел., 28 ч.-час, экономия от рынка ~4 000 ₽</t>
        </is>
      </c>
      <c r="K11" s="30" t="n"/>
      <c r="L11" s="30" t="n"/>
      <c r="M11" s="30" t="n"/>
      <c r="N11" s="30" t="n"/>
      <c r="O11" s="140" t="n"/>
    </row>
    <row r="12" ht="20" customHeight="1">
      <c r="A12" s="64" t="n">
        <v>8</v>
      </c>
      <c r="B12" s="64" t="inlineStr">
        <is>
          <t>23.08.2026</t>
        </is>
      </c>
      <c r="C12" s="49" t="inlineStr">
        <is>
          <t>Расходные материалы</t>
        </is>
      </c>
      <c r="D12" s="49" t="inlineStr">
        <is>
          <t>Мешки для пылесоса синт. 12л (5 шт) — Леруа/Лемана</t>
        </is>
      </c>
      <c r="E12" s="50" t="n">
        <v>717</v>
      </c>
      <c r="F12" s="51" t="n">
        <v>717</v>
      </c>
      <c r="G12" s="47">
        <f>E12-F12</f>
        <v/>
      </c>
      <c r="H12" s="63">
        <f>IFERROR(G12/E12, 0)</f>
        <v/>
      </c>
      <c r="I12" s="49" t="inlineStr">
        <is>
          <t>ООО Ле Монлид (Лемана ПРО)</t>
        </is>
      </c>
      <c r="J12" s="49" t="inlineStr">
        <is>
          <t>Чек 3831 от 23.08.2026 11:05</t>
        </is>
      </c>
      <c r="K12" s="30" t="n"/>
      <c r="L12" s="30" t="n"/>
      <c r="M12" s="30" t="n"/>
      <c r="N12" s="30" t="n"/>
      <c r="O12" s="140" t="n"/>
    </row>
    <row r="13" ht="20" customHeight="1">
      <c r="A13" s="62" t="n">
        <v>9</v>
      </c>
      <c r="B13" s="62" t="inlineStr">
        <is>
          <t>23.08.2026</t>
        </is>
      </c>
      <c r="C13" s="44" t="inlineStr">
        <is>
          <t>Инструмент и расходники</t>
        </is>
      </c>
      <c r="D13" s="44" t="inlineStr">
        <is>
          <t>Лом-гвоздодер, мешки 15шт, лента, перчатки 6п, опрыскиватель</t>
        </is>
      </c>
      <c r="E13" s="45" t="n">
        <v>1830</v>
      </c>
      <c r="F13" s="46" t="n">
        <v>1830</v>
      </c>
      <c r="G13" s="47">
        <f>E13-F13</f>
        <v/>
      </c>
      <c r="H13" s="63">
        <f>IFERROR(G13/E13, 0)</f>
        <v/>
      </c>
      <c r="I13" s="44" t="inlineStr">
        <is>
          <t>ООО Ле Монлид (Лемана ПРО)</t>
        </is>
      </c>
      <c r="J13" s="44" t="inlineStr">
        <is>
          <t>Чек 3832 от 23.08.2026 11:07</t>
        </is>
      </c>
      <c r="K13" s="30" t="n"/>
      <c r="L13" s="30" t="n"/>
      <c r="M13" s="30" t="n"/>
      <c r="N13" s="30" t="n"/>
      <c r="O13" s="140" t="n"/>
    </row>
    <row r="14" ht="20" customHeight="1">
      <c r="A14" s="64" t="n">
        <v>10</v>
      </c>
      <c r="B14" s="64" t="inlineStr">
        <is>
          <t>23.08.2026</t>
        </is>
      </c>
      <c r="C14" s="49" t="inlineStr">
        <is>
          <t>IT / AI-инфраструктура</t>
        </is>
      </c>
      <c r="D14" s="49" t="inlineStr">
        <is>
          <t>Пополнение баланса OpenRouter (AI-ассистент Hermes)</t>
        </is>
      </c>
      <c r="E14" s="50" t="n">
        <v>3000</v>
      </c>
      <c r="F14" s="51" t="n">
        <v>3000</v>
      </c>
      <c r="G14" s="47">
        <f>E14-F14</f>
        <v/>
      </c>
      <c r="H14" s="63">
        <f>IFERROR(G14/E14, 0)</f>
        <v/>
      </c>
      <c r="I14" s="49" t="inlineStr">
        <is>
          <t>OpenRouter</t>
        </is>
      </c>
      <c r="J14" s="49" t="inlineStr">
        <is>
          <t>Инфраструктура проектов и аналитики</t>
        </is>
      </c>
      <c r="K14" s="30" t="n"/>
      <c r="L14" s="30" t="n"/>
      <c r="M14" s="30" t="n"/>
      <c r="N14" s="30" t="n"/>
      <c r="O14" s="140" t="n"/>
    </row>
    <row r="15" ht="20" customHeight="1">
      <c r="A15" s="62" t="n">
        <v>11</v>
      </c>
      <c r="B15" s="62" t="inlineStr">
        <is>
          <t>24.08.2026</t>
        </is>
      </c>
      <c r="C15" s="44" t="inlineStr">
        <is>
          <t>Сантехника / Инженерия</t>
        </is>
      </c>
      <c r="D15" s="44" t="inlineStr">
        <is>
          <t>Счётчик воды + кран на ввод (материалы)</t>
        </is>
      </c>
      <c r="E15" s="45" t="n">
        <v>2100</v>
      </c>
      <c r="F15" s="46" t="n">
        <v>2100</v>
      </c>
      <c r="G15" s="47">
        <f>E15-F15</f>
        <v/>
      </c>
      <c r="H15" s="63">
        <f>IFERROR(G15/E15, 0)</f>
        <v/>
      </c>
      <c r="I15" s="44" t="inlineStr">
        <is>
          <t>Вадим (сантехник УК)</t>
        </is>
      </c>
      <c r="J15" s="44" t="inlineStr">
        <is>
          <t>Покупка материалов для замены закисшей запорной арматуры и счётчика</t>
        </is>
      </c>
      <c r="K15" s="30" t="n"/>
      <c r="L15" s="30" t="n"/>
      <c r="M15" s="30" t="n"/>
      <c r="N15" s="30" t="n"/>
      <c r="O15" s="140" t="n"/>
    </row>
    <row r="16" ht="20" customHeight="1">
      <c r="A16" s="64" t="n">
        <v>12</v>
      </c>
      <c r="B16" s="64" t="inlineStr">
        <is>
          <t>24.08.2026</t>
        </is>
      </c>
      <c r="C16" s="49" t="inlineStr">
        <is>
          <t>Газ / Дымоход</t>
        </is>
      </c>
      <c r="D16" s="49" t="inlineStr">
        <is>
          <t>Акт ВДПО — проверка дымохода и вентканала</t>
        </is>
      </c>
      <c r="E16" s="50" t="n">
        <v>1500</v>
      </c>
      <c r="F16" s="51" t="n">
        <v>1500</v>
      </c>
      <c r="G16" s="47">
        <f>E16-F16</f>
        <v/>
      </c>
      <c r="H16" s="63">
        <f>IFERROR(G16/E16, 0)</f>
        <v/>
      </c>
      <c r="I16" s="49" t="inlineStr">
        <is>
          <t>ВДПО / Газовая служба</t>
        </is>
      </c>
      <c r="J16" s="49" t="inlineStr">
        <is>
          <t>Обязательная проверка тяги для согласования газа при ремонте</t>
        </is>
      </c>
      <c r="K16" s="30" t="n"/>
      <c r="L16" s="30" t="n"/>
      <c r="M16" s="30" t="n"/>
      <c r="N16" s="30" t="n"/>
      <c r="O16" s="140" t="n"/>
    </row>
    <row r="17" ht="20" customHeight="1">
      <c r="A17" s="62" t="n">
        <v>13</v>
      </c>
      <c r="B17" s="62" t="inlineStr">
        <is>
          <t>24.08.2026</t>
        </is>
      </c>
      <c r="C17" s="44" t="inlineStr">
        <is>
          <t>Газ / Дымоход</t>
        </is>
      </c>
      <c r="D17" s="44" t="inlineStr">
        <is>
          <t>Оплата квитанций Тулагоргаз (платежки)</t>
        </is>
      </c>
      <c r="E17" s="45" t="n">
        <v>800</v>
      </c>
      <c r="F17" s="46" t="n">
        <v>800</v>
      </c>
      <c r="G17" s="47">
        <f>E17-F17</f>
        <v/>
      </c>
      <c r="H17" s="63">
        <f>IFERROR(G17/E17, 0)</f>
        <v/>
      </c>
      <c r="I17" s="44" t="inlineStr">
        <is>
          <t>Тулагоргаз</t>
        </is>
      </c>
      <c r="J17" s="44" t="inlineStr">
        <is>
          <t>Оплата начислений / услуг газоснабжения</t>
        </is>
      </c>
      <c r="K17" s="30" t="n"/>
      <c r="L17" s="30" t="n"/>
      <c r="M17" s="30" t="n"/>
      <c r="N17" s="30" t="n"/>
      <c r="O17" s="140" t="n"/>
    </row>
    <row r="18" ht="20" customHeight="1">
      <c r="A18" s="64" t="n">
        <v>14</v>
      </c>
      <c r="B18" s="64" t="inlineStr">
        <is>
          <t>26.08.2026</t>
        </is>
      </c>
      <c r="C18" s="49" t="inlineStr">
        <is>
          <t>Сантехника / Инженерия</t>
        </is>
      </c>
      <c r="D18" s="49" t="inlineStr">
        <is>
          <t>Покупка и установка счётчика и кранов (доплата)</t>
        </is>
      </c>
      <c r="E18" s="50" t="n">
        <v>2500</v>
      </c>
      <c r="F18" s="51" t="n">
        <v>2000</v>
      </c>
      <c r="G18" s="47">
        <f>E18-F18</f>
        <v/>
      </c>
      <c r="H18" s="63">
        <f>IFERROR(G18/E18, 0)</f>
        <v/>
      </c>
      <c r="I18" s="49" t="inlineStr">
        <is>
          <t>Вадим (сантехник УК)</t>
        </is>
      </c>
      <c r="J18" s="49" t="inlineStr">
        <is>
          <t>Доплата за покупку комплектующих и установку запорной арматуры/счётчика</t>
        </is>
      </c>
      <c r="K18" s="30" t="n"/>
      <c r="L18" s="30" t="n"/>
      <c r="M18" s="30" t="n"/>
      <c r="N18" s="30" t="n"/>
      <c r="O18" s="140" t="n"/>
    </row>
    <row r="19" ht="20" customHeight="1">
      <c r="A19" s="62" t="n">
        <v>15</v>
      </c>
      <c r="B19" s="62" t="inlineStr">
        <is>
          <t>26.08.2026</t>
        </is>
      </c>
      <c r="C19" s="44" t="inlineStr">
        <is>
          <t>Двери и входная группа</t>
        </is>
      </c>
      <c r="D19" s="44" t="inlineStr">
        <is>
          <t>Покупка входной металлической двери с внутренней МДФ-панелью</t>
        </is>
      </c>
      <c r="E19" s="45" t="n">
        <v>22000</v>
      </c>
      <c r="F19" s="46" t="n">
        <v>16000</v>
      </c>
      <c r="G19" s="47">
        <f>E19-F19</f>
        <v/>
      </c>
      <c r="H19" s="63">
        <f>IFERROR(G19/E19, 0)</f>
        <v/>
      </c>
      <c r="I19" s="44" t="inlineStr">
        <is>
          <t>Владимир (двери)</t>
        </is>
      </c>
      <c r="J19" s="44" t="inlineStr">
        <is>
          <t>Входная дверь металл 1.5мм, МДФ светлый, замки Гардиан (выгода 6 000 ₽)</t>
        </is>
      </c>
      <c r="K19" s="30" t="n"/>
      <c r="L19" s="30" t="n"/>
      <c r="M19" s="30" t="n"/>
      <c r="N19" s="30" t="n"/>
      <c r="O19" s="140" t="n"/>
    </row>
    <row r="20" ht="20" customHeight="1">
      <c r="A20" s="64" t="n">
        <v>16</v>
      </c>
      <c r="B20" s="64" t="inlineStr">
        <is>
          <t>26.08.2026</t>
        </is>
      </c>
      <c r="C20" s="49" t="inlineStr">
        <is>
          <t>Двери и входная группа</t>
        </is>
      </c>
      <c r="D20" s="49" t="inlineStr">
        <is>
          <t>Доставка входной двери на объект</t>
        </is>
      </c>
      <c r="E20" s="50" t="n">
        <v>2000</v>
      </c>
      <c r="F20" s="51" t="n">
        <v>1500</v>
      </c>
      <c r="G20" s="47">
        <f>E20-F20</f>
        <v/>
      </c>
      <c r="H20" s="63">
        <f>IFERROR(G20/E20, 0)</f>
        <v/>
      </c>
      <c r="I20" s="49" t="inlineStr">
        <is>
          <t>Владимир / Доставка</t>
        </is>
      </c>
      <c r="J20" s="49" t="inlineStr">
        <is>
          <t>Доставка двери на ул. Фрунзе 17</t>
        </is>
      </c>
      <c r="K20" s="30" t="n"/>
      <c r="L20" s="30" t="n"/>
      <c r="M20" s="30" t="n"/>
      <c r="N20" s="30" t="n"/>
      <c r="O20" s="140" t="n"/>
    </row>
    <row r="21" ht="20" customHeight="1">
      <c r="A21" s="62" t="n">
        <v>17</v>
      </c>
      <c r="B21" s="62" t="inlineStr">
        <is>
          <t>26.08.2026</t>
        </is>
      </c>
      <c r="C21" s="44" t="inlineStr">
        <is>
          <t>Электрика / Материалы</t>
        </is>
      </c>
      <c r="D21" s="44" t="inlineStr">
        <is>
          <t>Черновые материалы электрики (щит 18м, новый электросчётчик, автоматы, УЗО, подрозетники, гофра)</t>
        </is>
      </c>
      <c r="E21" s="45" t="n">
        <v>20000</v>
      </c>
      <c r="F21" s="46" t="n">
        <v>16500</v>
      </c>
      <c r="G21" s="47">
        <f>E21-F21</f>
        <v/>
      </c>
      <c r="H21" s="63">
        <f>IFERROR(G21/E21, 0)</f>
        <v/>
      </c>
      <c r="I21" s="44" t="inlineStr">
        <is>
          <t>Анатолий / Поставщик</t>
        </is>
      </c>
      <c r="J21" s="44" t="inlineStr">
        <is>
          <t>Щит 18 мод, новый счётчик, УЗО, дифавтомат, автоматы B16/B10, подрозетники, гофра, клипсы</t>
        </is>
      </c>
      <c r="K21" s="30" t="n"/>
      <c r="L21" s="30" t="n"/>
      <c r="M21" s="30" t="n"/>
      <c r="N21" s="30" t="n"/>
      <c r="O21" s="140" t="n"/>
    </row>
    <row r="22" ht="20" customHeight="1">
      <c r="A22" s="64" t="n">
        <v>18</v>
      </c>
      <c r="B22" s="64" t="inlineStr">
        <is>
          <t>27.08.2026</t>
        </is>
      </c>
      <c r="C22" s="49" t="inlineStr">
        <is>
          <t>Двери и входная группа</t>
        </is>
      </c>
      <c r="D22" s="49" t="inlineStr">
        <is>
          <t>Монтаж входной двери (демонтаж 2 старых дверей + установка новой)</t>
        </is>
      </c>
      <c r="E22" s="50" t="n">
        <v>10000</v>
      </c>
      <c r="F22" s="51" t="n">
        <v>9000</v>
      </c>
      <c r="G22" s="47">
        <f>E22-F22</f>
        <v/>
      </c>
      <c r="H22" s="63">
        <f>IFERROR(G22/E22, 0)</f>
        <v/>
      </c>
      <c r="I22" s="49" t="inlineStr">
        <is>
          <t>Андрей (монтаж дверей)</t>
        </is>
      </c>
      <c r="J22" s="49" t="inlineStr">
        <is>
          <t>Сняли 2 старые двери (деревянная + металл), установили новую</t>
        </is>
      </c>
      <c r="K22" s="30" t="n"/>
      <c r="L22" s="30" t="n"/>
      <c r="M22" s="30" t="n"/>
      <c r="N22" s="30" t="n"/>
      <c r="O22" s="140" t="n"/>
    </row>
    <row r="23" ht="20" customHeight="1">
      <c r="A23" s="62" t="n">
        <v>19</v>
      </c>
      <c r="B23" s="62" t="inlineStr">
        <is>
          <t>27.08.2026</t>
        </is>
      </c>
      <c r="C23" s="44" t="inlineStr">
        <is>
          <t>Электрика / Материалы</t>
        </is>
      </c>
      <c r="D23" s="44" t="inlineStr">
        <is>
          <t>Кабель силовой ВВГнг-LS (ГОСТ 3х2.5 и 3х1.5 для всех трасс)</t>
        </is>
      </c>
      <c r="E23" s="45" t="n">
        <v>20000</v>
      </c>
      <c r="F23" s="46" t="n">
        <v>18000</v>
      </c>
      <c r="G23" s="47">
        <f>E23-F23</f>
        <v/>
      </c>
      <c r="H23" s="63">
        <f>IFERROR(G23/E23, 0)</f>
        <v/>
      </c>
      <c r="I23" s="44" t="inlineStr">
        <is>
          <t>Электромонтаж / Поставщик</t>
        </is>
      </c>
      <c r="J23" s="44" t="inlineStr">
        <is>
          <t>Силовой кабель ГОСТ для розеточных и осветительных групп</t>
        </is>
      </c>
      <c r="K23" s="30" t="n"/>
      <c r="L23" s="30" t="n"/>
      <c r="M23" s="30" t="n"/>
      <c r="N23" s="30" t="n"/>
      <c r="O23" s="140" t="n"/>
    </row>
    <row r="24" ht="20" customHeight="1">
      <c r="A24" s="64" t="n">
        <v>20</v>
      </c>
      <c r="B24" s="64" t="inlineStr">
        <is>
          <t>27.08.2026</t>
        </is>
      </c>
      <c r="C24" s="49" t="inlineStr">
        <is>
          <t>Электрика / Материалы</t>
        </is>
      </c>
      <c r="D24" s="49" t="inlineStr">
        <is>
          <t>Стяжки нейлоновые и крепёж для монтажа кабеля</t>
        </is>
      </c>
      <c r="E24" s="50" t="n">
        <v>1000</v>
      </c>
      <c r="F24" s="51" t="n">
        <v>1000</v>
      </c>
      <c r="G24" s="47">
        <f>E24-F24</f>
        <v/>
      </c>
      <c r="H24" s="63">
        <f>IFERROR(G24/E24, 0)</f>
        <v/>
      </c>
      <c r="I24" s="49" t="inlineStr">
        <is>
          <t>Хозмаг / Электромонтаж</t>
        </is>
      </c>
      <c r="J24" s="49" t="inlineStr">
        <is>
          <t>Расходники для фиксации кабельных трасс по потолку</t>
        </is>
      </c>
      <c r="K24" s="30" t="n"/>
      <c r="L24" s="30" t="n"/>
      <c r="M24" s="30" t="n"/>
      <c r="N24" s="30" t="n"/>
      <c r="O24" s="140" t="n"/>
    </row>
    <row r="25" ht="20" customHeight="1">
      <c r="A25" s="62" t="n">
        <v>21</v>
      </c>
      <c r="B25" s="62" t="inlineStr">
        <is>
          <t>28.08.2026</t>
        </is>
      </c>
      <c r="C25" s="44" t="inlineStr">
        <is>
          <t>Электроэнергия / Учёт</t>
        </is>
      </c>
      <c r="D25" s="44" t="inlineStr">
        <is>
          <t>Срочный выезд инспектора ТНС энерго Тула (снятие пломбы со старого счётчика за 5 дней)</t>
        </is>
      </c>
      <c r="E25" s="45" t="n">
        <v>2500</v>
      </c>
      <c r="F25" s="46" t="n">
        <v>2500</v>
      </c>
      <c r="G25" s="47">
        <f>E25-F25</f>
        <v/>
      </c>
      <c r="H25" s="63">
        <f>IFERROR(G25/E25, 0)</f>
        <v/>
      </c>
      <c r="I25" s="44" t="inlineStr">
        <is>
          <t>АО "ТНС энерго Тула"</t>
        </is>
      </c>
      <c r="J25" s="44" t="inlineStr">
        <is>
          <t>ЦОК Каминского, ЛС 714199024362, услуга ускоренного выезда контролера (5 дней вместо 30)</t>
        </is>
      </c>
      <c r="K25" s="30" t="n"/>
      <c r="L25" s="30" t="n"/>
      <c r="M25" s="30" t="n"/>
      <c r="N25" s="30" t="n"/>
      <c r="O25" s="140" t="n"/>
    </row>
    <row r="26" ht="20" customHeight="1">
      <c r="A26" s="64" t="n">
        <v>22</v>
      </c>
      <c r="B26" s="64" t="inlineStr">
        <is>
          <t>28.08.2026</t>
        </is>
      </c>
      <c r="C26" s="49" t="inlineStr">
        <is>
          <t>Электрика / Работы</t>
        </is>
      </c>
      <c r="D26" s="49" t="inlineStr">
        <is>
          <t>Электромонтажные работы под ключ (разводка 32 точек, штробление, щит 18м, монтаж счётчика)</t>
        </is>
      </c>
      <c r="E26" s="50" t="n">
        <v>60000</v>
      </c>
      <c r="F26" s="51" t="n">
        <v>50000</v>
      </c>
      <c r="G26" s="47">
        <f>E26-F26</f>
        <v/>
      </c>
      <c r="H26" s="63">
        <f>IFERROR(G26/E26, 0)</f>
        <v/>
      </c>
      <c r="I26" s="49" t="inlineStr">
        <is>
          <t>Анатолий Кушнарев (бригада)</t>
        </is>
      </c>
      <c r="J26" s="49" t="inlineStr">
        <is>
          <t>Монтаж проводки, сборка щита и подключение нового счётчика (рынок ~60к, экономия 10 000 ₽)</t>
        </is>
      </c>
      <c r="K26" s="30" t="n"/>
      <c r="L26" s="30" t="n"/>
      <c r="M26" s="30" t="n"/>
      <c r="N26" s="30" t="n"/>
      <c r="O26" s="140" t="n"/>
    </row>
    <row r="27" ht="20" customHeight="1">
      <c r="A27" s="62" t="n">
        <v>23</v>
      </c>
      <c r="B27" s="62" t="inlineStr">
        <is>
          <t>28.08.2026</t>
        </is>
      </c>
      <c r="C27" s="44" t="inlineStr">
        <is>
          <t>Электрика / Материалы</t>
        </is>
      </c>
      <c r="D27" s="44" t="inlineStr">
        <is>
          <t>Докупка силового кабеля ВВГнг-LS (дополнительный метраж трасс)</t>
        </is>
      </c>
      <c r="E27" s="45" t="n">
        <v>14500</v>
      </c>
      <c r="F27" s="46" t="n">
        <v>13000</v>
      </c>
      <c r="G27" s="47">
        <f>E27-F27</f>
        <v/>
      </c>
      <c r="H27" s="63">
        <f>IFERROR(G27/E27, 0)</f>
        <v/>
      </c>
      <c r="I27" s="44" t="inlineStr">
        <is>
          <t>Электромонтаж / Поставщик</t>
        </is>
      </c>
      <c r="J27" s="44" t="inlineStr">
        <is>
          <t>Дополнительный кабель ВВГнг-LS ГОСТ для трасс на кухню и бытовую технику (скидка 1 500 ₽)</t>
        </is>
      </c>
      <c r="K27" s="30" t="n"/>
      <c r="L27" s="30" t="n"/>
      <c r="M27" s="30" t="n"/>
      <c r="N27" s="30" t="n"/>
      <c r="O27" s="140" t="n"/>
    </row>
    <row r="28" ht="20" customHeight="1">
      <c r="A28" s="64" t="n">
        <v>24</v>
      </c>
      <c r="B28" s="64" t="inlineStr">
        <is>
          <t>30.08.2026</t>
        </is>
      </c>
      <c r="C28" s="49" t="inlineStr">
        <is>
          <t>Демонтаж и зачистка</t>
        </is>
      </c>
      <c r="D28" s="49" t="inlineStr">
        <is>
          <t>Зачистка стен/потолка (обои, плитка в зале и спальне), вынос мусора, 1-й слой грунта (спальня + гардеробная)</t>
        </is>
      </c>
      <c r="E28" s="50" t="n">
        <v>20000</v>
      </c>
      <c r="F28" s="51" t="n">
        <v>15000</v>
      </c>
      <c r="G28" s="47">
        <f>E28-F28</f>
        <v/>
      </c>
      <c r="H28" s="63">
        <f>IFERROR(G28/E28, 0)</f>
        <v/>
      </c>
      <c r="I28" s="49" t="inlineStr">
        <is>
          <t>Бригада разнорабочих</t>
        </is>
      </c>
      <c r="J28" s="49" t="inlineStr">
        <is>
          <t>Снятие обоев, плитки с потолка, вынос люстр/плинтусов/мойки, грунтовка спальни и подсобки (скидка 5 000 ₽)</t>
        </is>
      </c>
      <c r="K28" s="30" t="n"/>
      <c r="L28" s="30" t="n"/>
      <c r="M28" s="30" t="n"/>
      <c r="N28" s="30" t="n"/>
      <c r="O28" s="140" t="n"/>
    </row>
    <row r="29" ht="20" customHeight="1">
      <c r="A29" s="62" t="n">
        <v>25</v>
      </c>
      <c r="B29" s="62" t="inlineStr">
        <is>
          <t>30.08.2026</t>
        </is>
      </c>
      <c r="C29" s="44" t="inlineStr">
        <is>
          <t>Черновая отделка / Материалы</t>
        </is>
      </c>
      <c r="D29" s="44" t="inlineStr">
        <is>
          <t>Материалы для зачистки и грунтования, шпатлевка Старатели 20кг, грунт Axton 10л, антисептик СТ99, фильтр Rommer, расходники</t>
        </is>
      </c>
      <c r="E29" s="45" t="n">
        <v>4803.6</v>
      </c>
      <c r="F29" s="46" t="n">
        <v>4803.6</v>
      </c>
      <c r="G29" s="47">
        <f>E29-F29</f>
        <v/>
      </c>
      <c r="H29" s="63">
        <f>IFERROR(G29/E29, 0)</f>
        <v/>
      </c>
      <c r="I29" s="44" t="inlineStr">
        <is>
          <t>ООО Ле Монлид (Лемана ПРО)</t>
        </is>
      </c>
      <c r="J29" s="44" t="inlineStr">
        <is>
          <t>Чек от 30.08.2026 11:02: Шпатлевка 20кг (454₽), грунт 10л (460₽), CT99 (735₽), миксер (208₽), опрыскиватель (276₽), макловица, лента, тенты, подрозетник, щетки, фильтр Rommer 1/2 (341₽), уголок, шпатели, перчатки 10п, мешки, валики 2шт, кюветы 2шт</t>
        </is>
      </c>
      <c r="K29" s="30" t="n"/>
      <c r="L29" s="30" t="n"/>
      <c r="M29" s="30" t="n"/>
      <c r="N29" s="30" t="n"/>
      <c r="O29" s="140" t="n"/>
    </row>
    <row r="30" ht="20" customHeight="1">
      <c r="A30" s="64" t="n">
        <v>26</v>
      </c>
      <c r="B30" s="64" t="inlineStr">
        <is>
          <t>30.08.2026</t>
        </is>
      </c>
      <c r="C30" s="49" t="inlineStr">
        <is>
          <t>Инструмент и расходники</t>
        </is>
      </c>
      <c r="D30" s="49" t="inlineStr">
        <is>
          <t>Ведро строительное 20 л (2 шт.)</t>
        </is>
      </c>
      <c r="E30" s="50" t="n">
        <v>256</v>
      </c>
      <c r="F30" s="51" t="n">
        <v>256</v>
      </c>
      <c r="G30" s="47">
        <f>E30-F30</f>
        <v/>
      </c>
      <c r="H30" s="63">
        <f>IFERROR(G30/E30, 0)</f>
        <v/>
      </c>
      <c r="I30" s="49" t="inlineStr">
        <is>
          <t>ООО Ле Монлид (Лемана ПРО)</t>
        </is>
      </c>
      <c r="J30" s="49" t="inlineStr">
        <is>
          <t>Чек от 30.08.2026 11:03: Ведра строительные 20л (2 шт. × 128 ₽)</t>
        </is>
      </c>
      <c r="K30" s="30" t="n"/>
      <c r="L30" s="30" t="n"/>
      <c r="M30" s="30" t="n"/>
      <c r="N30" s="30" t="n"/>
      <c r="O30" s="140" t="n"/>
    </row>
    <row r="31" ht="20" customHeight="1">
      <c r="A31" s="62" t="n">
        <v>27</v>
      </c>
      <c r="B31" s="62" t="inlineStr">
        <is>
          <t>30.08.2026</t>
        </is>
      </c>
      <c r="C31" s="44" t="inlineStr">
        <is>
          <t>Хоз. инвентарь / Оснащение</t>
        </is>
      </c>
      <c r="D31" s="44" t="inlineStr">
        <is>
          <t>Портативная акустика Xiaomi Bluetooth Speaker Essential Green (оснащение объекта)</t>
        </is>
      </c>
      <c r="E31" s="45" t="n">
        <v>1250</v>
      </c>
      <c r="F31" s="46" t="n">
        <v>1250</v>
      </c>
      <c r="G31" s="47">
        <f>E31-F31</f>
        <v/>
      </c>
      <c r="H31" s="63">
        <f>IFERROR(G31/E31, 0)</f>
        <v/>
      </c>
      <c r="I31" s="44" t="inlineStr">
        <is>
          <t>ООО ДНС Ритейл (DNS)</t>
        </is>
      </c>
      <c r="J31" s="44" t="inlineStr">
        <is>
          <t>Чек от 30.08.2026 17:28: Колонка для комфортной работы бригады на объекте</t>
        </is>
      </c>
      <c r="K31" s="30" t="n"/>
      <c r="L31" s="30" t="n"/>
      <c r="M31" s="30" t="n"/>
      <c r="N31" s="30" t="n"/>
      <c r="O31" s="140" t="n"/>
    </row>
    <row r="32" ht="20" customHeight="1">
      <c r="A32" s="64" t="n">
        <v>28</v>
      </c>
      <c r="B32" s="64" t="inlineStr">
        <is>
          <t>05.09.2026</t>
        </is>
      </c>
      <c r="C32" s="49" t="inlineStr">
        <is>
          <t>Черновая отделка / Материалы</t>
        </is>
      </c>
      <c r="D32" s="49" t="inlineStr">
        <is>
          <t>Материалы для подготовки стен (грунт Axton 10л 4шт, шпатлевка Старатели 20кг 2шт, шпатели 150 и 350мм, мешки, дождевик)</t>
        </is>
      </c>
      <c r="E32" s="50" t="n">
        <v>3308</v>
      </c>
      <c r="F32" s="51" t="n">
        <v>3308</v>
      </c>
      <c r="G32" s="47">
        <f>E32-F32</f>
        <v/>
      </c>
      <c r="H32" s="63">
        <f>IFERROR(G32/E32, 0)</f>
        <v/>
      </c>
      <c r="I32" s="49" t="inlineStr">
        <is>
          <t>ООО Ле Монлид (Лемана ПРО)</t>
        </is>
      </c>
      <c r="J32" s="49" t="inlineStr">
        <is>
          <t>Чек от 05.09.2026 10:23: Грунт Axton 10л (4шт по 460₽=1840₽), шпатлевка Старатели 20кг (2шт по 454₽=908₽), шпатель 150мм (87₽), шпатель 350мм (186₽), дождевик (248₽), мешки 3шт (39₽)</t>
        </is>
      </c>
      <c r="K32" s="30" t="n"/>
      <c r="L32" s="30" t="n"/>
      <c r="M32" s="30" t="n"/>
      <c r="N32" s="30" t="n"/>
      <c r="O32" s="140" t="n"/>
    </row>
    <row r="33" ht="20" customHeight="1">
      <c r="A33" s="62" t="n">
        <v>29</v>
      </c>
      <c r="B33" s="62" t="inlineStr">
        <is>
          <t>05.09.2026</t>
        </is>
      </c>
      <c r="C33" s="44" t="inlineStr">
        <is>
          <t>Хоз. инвентарь / Оснащение</t>
        </is>
      </c>
      <c r="D33" s="44" t="inlineStr">
        <is>
          <t>Хозрасходы на объект: салфетки влажные и питьевая вода для мастеров</t>
        </is>
      </c>
      <c r="E33" s="45" t="n">
        <v>520</v>
      </c>
      <c r="F33" s="46" t="n">
        <v>520</v>
      </c>
      <c r="G33" s="47">
        <f>E33-F33</f>
        <v/>
      </c>
      <c r="H33" s="63">
        <f>IFERROR(G33/E33, 0)</f>
        <v/>
      </c>
      <c r="I33" s="44" t="inlineStr">
        <is>
          <t>Хозмаг / Продукты</t>
        </is>
      </c>
      <c r="J33" s="44" t="inlineStr">
        <is>
          <t>Снабжение объекта для бригады: салфетки влажные, вода питьевая</t>
        </is>
      </c>
      <c r="K33" s="30" t="n"/>
      <c r="L33" s="30" t="n"/>
      <c r="M33" s="30" t="n"/>
      <c r="N33" s="30" t="n"/>
      <c r="O33" s="140" t="n"/>
    </row>
    <row r="34" ht="20" customHeight="1">
      <c r="A34" s="64" t="n">
        <v>30</v>
      </c>
      <c r="B34" s="64" t="inlineStr">
        <is>
          <t>06.09.2026</t>
        </is>
      </c>
      <c r="C34" s="49" t="inlineStr">
        <is>
          <t>Черновая отделка / Материалы</t>
        </is>
      </c>
      <c r="D34" s="49" t="inlineStr">
        <is>
          <t>Материалы для штукатурки и шпаклёвки (Бетонконтакт Axton 12кг 3шт, финиш Старатели 20кг 5шт, штукатурка Старатели 30кг 3шт, правило 1.5м, уголки, тент, расходники)</t>
        </is>
      </c>
      <c r="E34" s="50" t="n">
        <v>8162</v>
      </c>
      <c r="F34" s="51" t="n">
        <v>8162</v>
      </c>
      <c r="G34" s="47">
        <f>E34-F34</f>
        <v/>
      </c>
      <c r="H34" s="63">
        <f>IFERROR(G34/E34, 0)</f>
        <v/>
      </c>
      <c r="I34" s="49" t="inlineStr">
        <is>
          <t>ООО Ле Монлид (Лемана ПРО)</t>
        </is>
      </c>
      <c r="J34" s="49" t="inlineStr">
        <is>
          <t>Чек от 06.09.2026 12:57: Бетонконтакт Axton 12кг (3шт по 903₽=2709₽), шпатлевка Старатели финиш 20кг (5шт по 530₽=2650₽), штукатурка Старатели 30кг (3шт по 505₽=1515₽), правило 1.5м (465₽), углы перф. 7шт (266₽), угол усил. 4шт (312₽), тент 4х12.5м (191₽), перчатки (54₽)</t>
        </is>
      </c>
      <c r="K34" s="30" t="n"/>
      <c r="L34" s="30" t="n"/>
      <c r="M34" s="30" t="n"/>
      <c r="N34" s="30" t="n"/>
      <c r="O34" s="140" t="n"/>
    </row>
    <row r="35" ht="20" customHeight="1">
      <c r="A35" s="62" t="n">
        <v>31</v>
      </c>
      <c r="B35" s="62" t="inlineStr">
        <is>
          <t>06.09.2026</t>
        </is>
      </c>
      <c r="C35" s="44" t="inlineStr">
        <is>
          <t>IT / AI-инфраструктура</t>
        </is>
      </c>
      <c r="D35" s="44" t="inlineStr">
        <is>
          <t>Пополнение баланса OpenRouter (AI-ассистент Hermes)</t>
        </is>
      </c>
      <c r="E35" s="45" t="n">
        <v>2500</v>
      </c>
      <c r="F35" s="46" t="n">
        <v>2500</v>
      </c>
      <c r="G35" s="47">
        <f>E35-F35</f>
        <v/>
      </c>
      <c r="H35" s="63">
        <f>IFERROR(G35/E35, 0)</f>
        <v/>
      </c>
      <c r="I35" s="44" t="inlineStr">
        <is>
          <t>OpenRouter</t>
        </is>
      </c>
      <c r="J35" s="44" t="inlineStr">
        <is>
          <t>Пополнение баланса API для работы AI-партнёра Hermes (ведение проекта, аналитика, сметы)</t>
        </is>
      </c>
      <c r="K35" s="30" t="n"/>
      <c r="L35" s="30" t="n"/>
      <c r="M35" s="30" t="n"/>
      <c r="N35" s="30" t="n"/>
      <c r="O35" s="140" t="n"/>
    </row>
    <row r="36" ht="20" customHeight="1">
      <c r="A36" s="64" t="n">
        <v>32</v>
      </c>
      <c r="B36" s="64" t="inlineStr">
        <is>
          <t>08.09.2026</t>
        </is>
      </c>
      <c r="C36" s="49" t="inlineStr">
        <is>
          <t>Черновая отделка / Материалы</t>
        </is>
      </c>
      <c r="D36" s="49" t="inlineStr">
        <is>
          <t>Материалы для штукатурки и шпаклёвки (шпатлевка Старатели финиш 20кг, штукатурка Старатели 30кг 2шт, перчатки)</t>
        </is>
      </c>
      <c r="E36" s="50" t="n">
        <v>1594</v>
      </c>
      <c r="F36" s="51" t="n">
        <v>1594</v>
      </c>
      <c r="G36" s="47">
        <f>E36-F36</f>
        <v/>
      </c>
      <c r="H36" s="63">
        <f>IFERROR(G36/E36, 0)</f>
        <v/>
      </c>
      <c r="I36" s="49" t="inlineStr">
        <is>
          <t>ООО Ле Монлид (Лемана ПРО)</t>
        </is>
      </c>
      <c r="J36" s="49" t="inlineStr">
        <is>
          <t>Чек от 08.09.2026 08:44: Шпатлевка Старатели финиш 20кг (530₽), штукатурка Старатели 30кг (2шт по 505₽=1010₽), перчатки 2п (54₽)</t>
        </is>
      </c>
      <c r="K36" s="30" t="n"/>
      <c r="L36" s="30" t="n"/>
      <c r="M36" s="30" t="n"/>
      <c r="N36" s="30" t="n"/>
    </row>
    <row r="37" ht="20" customHeight="1">
      <c r="A37" s="62" t="n">
        <v>33</v>
      </c>
      <c r="B37" s="62" t="inlineStr">
        <is>
          <t>08.09.2026</t>
        </is>
      </c>
      <c r="C37" s="44" t="inlineStr">
        <is>
          <t>Электроэнергия / Учёт</t>
        </is>
      </c>
      <c r="D37" s="44" t="inlineStr">
        <is>
          <t>Дистанционная распломбировка старого электросчётчика (официальная услуга/согласование)</t>
        </is>
      </c>
      <c r="E37" s="45" t="n">
        <v>2200</v>
      </c>
      <c r="F37" s="46" t="n">
        <v>2200</v>
      </c>
      <c r="G37" s="47">
        <f>E37-F37</f>
        <v/>
      </c>
      <c r="H37" s="63">
        <f>IFERROR(G37/E37, 0)</f>
        <v/>
      </c>
      <c r="I37" s="44" t="inlineStr">
        <is>
          <t>ТНС энерго Тула / Энергосбыт</t>
        </is>
      </c>
      <c r="J37" s="44" t="inlineStr">
        <is>
          <t>Оплата услуги дистанционной распломбировки старого прибора учёта (фиксация контрольных показаний и снятие пломбы без выезда)</t>
        </is>
      </c>
      <c r="K37" s="30" t="n"/>
      <c r="L37" s="30" t="n"/>
      <c r="M37" s="30" t="n"/>
      <c r="N37" s="30" t="n"/>
    </row>
    <row r="38" ht="20" customHeight="1">
      <c r="A38" s="64" t="n">
        <v>34</v>
      </c>
      <c r="B38" s="64" t="inlineStr">
        <is>
          <t>13.09.2026</t>
        </is>
      </c>
      <c r="C38" s="49" t="inlineStr">
        <is>
          <t>Сантехника / Санфаянс</t>
        </is>
      </c>
      <c r="D38" s="49" t="inlineStr">
        <is>
          <t>Сантехника и санфаянс для санузла (ванна Неоре 150х70 акрил, каркас Sensea, унитаз Sanita Master, раковина Cersanit 60см, смесители 2шт, душ Konsensa, сифон)</t>
        </is>
      </c>
      <c r="E38" s="50" t="n">
        <v>33621</v>
      </c>
      <c r="F38" s="51" t="n">
        <v>30021</v>
      </c>
      <c r="G38" s="47">
        <f>E38-F38</f>
        <v/>
      </c>
      <c r="H38" s="63">
        <f>IFERROR(G38/E38, 0)</f>
        <v/>
      </c>
      <c r="I38" s="49" t="inlineStr">
        <is>
          <t>ООО Ле Монлид (Лемана ПРО)</t>
        </is>
      </c>
      <c r="J38" s="49" t="inlineStr">
        <is>
          <t>Чек от 13.09.2026 15:31 (заказ 774): Ванна Неоре 150х70 (9141₽), каркас Sensea (3252₽), унитаз Sanita Master (5580₽), раковина Cersanit 60см (5470₽), смеситель для ванны Aqua-Rivus (2978₽), смеситель для раковины (1894₽), душ Konsensa (1269₽), сифон Equation (437₽). Фронтальная панель 150см (2847₽) возвращена из-за брака (чек возврата №47 от 13.09.2026 17:41). Общая скидка по заказу -3600₽</t>
        </is>
      </c>
    </row>
    <row r="39" ht="20" customHeight="1">
      <c r="A39" s="62" t="n">
        <v>35</v>
      </c>
      <c r="B39" s="62" t="inlineStr">
        <is>
          <t>13.09.2026</t>
        </is>
      </c>
      <c r="C39" s="44" t="inlineStr">
        <is>
          <t>Чистовая отделка / Материалы</t>
        </is>
      </c>
      <c r="D39" s="44" t="inlineStr">
        <is>
          <t>Керамогранит и затирка для санузла (керамогранит Calacatta superwhite 60х120 14 упак./20.16 м² + водоотталкивающая затирка Ceresit CE 40 2кг 2шт)</t>
        </is>
      </c>
      <c r="E39" s="45" t="n">
        <v>37174</v>
      </c>
      <c r="F39" s="46" t="n">
        <v>33457</v>
      </c>
      <c r="G39" s="47">
        <f>E39-F39</f>
        <v/>
      </c>
      <c r="H39" s="63">
        <f>IFERROR(G39/E39, 0)</f>
        <v/>
      </c>
      <c r="I39" s="44" t="inlineStr">
        <is>
          <t>ООО Ле Монлид (Лемана ПРО)</t>
        </is>
      </c>
      <c r="J39" s="44" t="inlineStr">
        <is>
          <t>Чек от 13.09.2026 15:31 (заказ 774): Керамогранит Calacatta superwhite 60х120 14 упак. по 1.44м²=20.16м² (32193₽, скидка -3577₽), затирка Ceresit CE 40 2кг (2 шт. × 632₽ = 1264₽, скидка -140₽). Общая скидка по промокоду -3717₽</t>
        </is>
      </c>
    </row>
    <row r="40" ht="20" customHeight="1">
      <c r="A40" s="64" t="n">
        <v>36</v>
      </c>
      <c r="B40" s="64" t="inlineStr">
        <is>
          <t>13.09.2026</t>
        </is>
      </c>
      <c r="C40" s="49" t="inlineStr">
        <is>
          <t>Черновая отделка / Материалы</t>
        </is>
      </c>
      <c r="D40" s="49" t="inlineStr">
        <is>
          <t>Плиточный клей Unis 2000 C1T 25 кг для укладки плитки и керамогранита (13 мешков)</t>
        </is>
      </c>
      <c r="E40" s="50" t="n">
        <v>5525</v>
      </c>
      <c r="F40" s="51" t="n">
        <v>4973</v>
      </c>
      <c r="G40" s="47">
        <f>E40-F40</f>
        <v/>
      </c>
      <c r="H40" s="63">
        <f>IFERROR(G40/E40, 0)</f>
        <v/>
      </c>
      <c r="I40" s="49" t="inlineStr">
        <is>
          <t>ООО Ле Монлид (Лемана ПРО)</t>
        </is>
      </c>
      <c r="J40" s="49" t="inlineStr">
        <is>
          <t>Чек от 13.09.2026 15:31 (заказ 774): Клей для плитки Unis 2000 C1T 25 кг (13 мешков по 382.54₽ = 4973₽). Базовая цена 5525₽, скидка по промокоду -552₽</t>
        </is>
      </c>
    </row>
    <row r="41" ht="20" customHeight="1">
      <c r="A41" s="62" t="n">
        <v>37</v>
      </c>
      <c r="B41" s="62" t="inlineStr">
        <is>
          <t>13.09.2026</t>
        </is>
      </c>
      <c r="C41" s="44" t="inlineStr">
        <is>
          <t>Инструмент и расходники</t>
        </is>
      </c>
      <c r="D41" s="44" t="inlineStr">
        <is>
          <t>Система выравнивания плитки СВП DILWIS (зажимы 1 мм 200 шт, клинья 100 шт)</t>
        </is>
      </c>
      <c r="E41" s="45" t="n">
        <v>947</v>
      </c>
      <c r="F41" s="46" t="n">
        <v>853</v>
      </c>
      <c r="G41" s="47">
        <f>E41-F41</f>
        <v/>
      </c>
      <c r="H41" s="63">
        <f>IFERROR(G41/E41, 0)</f>
        <v/>
      </c>
      <c r="I41" s="44" t="inlineStr">
        <is>
          <t>ООО Ле Монлид (Лемана ПРО)</t>
        </is>
      </c>
      <c r="J41" s="44" t="inlineStr">
        <is>
          <t>Чек от 13.09.2026 15:31 (заказ 774): Зажимы DILWIS 1мм 100шт (2 упак. × 291₽ = 582₽, скидка -64₽), клинья DILWIS 100шт (1 упак. 271₽, скидка -30₽). Общая скидка -94₽</t>
        </is>
      </c>
    </row>
    <row r="42" ht="20" customHeight="1">
      <c r="A42" s="64" t="n">
        <v>38</v>
      </c>
      <c r="B42" s="64" t="inlineStr">
        <is>
          <t>08.09.2026</t>
        </is>
      </c>
      <c r="C42" s="49" t="inlineStr">
        <is>
          <t>Черновая отделка / Материалы</t>
        </is>
      </c>
      <c r="D42" s="49" t="inlineStr">
        <is>
          <t>Материалы для штукатурки и шпаклёвки (шпатлевка Старатели финиш 20кг, штукатурка Старатели 30кг 2шт, перчатки) — повторная закупка</t>
        </is>
      </c>
      <c r="E42" s="50" t="n">
        <v>1594</v>
      </c>
      <c r="F42" s="51" t="n">
        <v>1594</v>
      </c>
      <c r="G42" s="47">
        <f>E42-F42</f>
        <v/>
      </c>
      <c r="H42" s="63">
        <f>IFERROR(G42/E42, 0)</f>
        <v/>
      </c>
      <c r="I42" s="49" t="inlineStr">
        <is>
          <t>ООО Ле Монлид (Лемана ПРО)</t>
        </is>
      </c>
      <c r="J42" s="49" t="inlineStr">
        <is>
          <t>Повторная закупка тех же материалов от 08.09.2026 (шпатлевка Старатели финиш 20кг 530₽, штукатурка 30кг 2шт по 505₽=1010₽, перчатки 54₽). Чек не сохранён</t>
        </is>
      </c>
      <c r="K42" s="30" t="n"/>
      <c r="L42" s="30" t="n"/>
      <c r="M42" s="30" t="n"/>
      <c r="N42" s="30" t="n"/>
    </row>
    <row r="43" ht="20" customHeight="1">
      <c r="A43" s="62" t="n">
        <v>39</v>
      </c>
      <c r="B43" s="62" t="inlineStr">
        <is>
          <t>13.09.2026</t>
        </is>
      </c>
      <c r="C43" s="44" t="inlineStr">
        <is>
          <t>Черновая отделка / Материалы</t>
        </is>
      </c>
      <c r="D43" s="44" t="inlineStr">
        <is>
          <t>Материалы для стяжки пола и короба с/у (пескобетон М-300 6 шт., профиль Knauf 50х40, ГСП влагост. Knauf 2 шт., фибра 150г, саморезы, мешки, стамеска)</t>
        </is>
      </c>
      <c r="E43" s="45" t="n">
        <v>3182.67</v>
      </c>
      <c r="F43" s="46" t="n">
        <v>3182.67</v>
      </c>
      <c r="G43" s="47">
        <f>E43-F43</f>
        <v/>
      </c>
      <c r="H43" s="63">
        <f>IFERROR(G43/E43, 0)</f>
        <v/>
      </c>
      <c r="I43" s="44" t="inlineStr">
        <is>
          <t>ООО Ле Монлид (Лемана ПРО)</t>
        </is>
      </c>
      <c r="J43" s="44" t="inlineStr">
        <is>
          <t>Чек №201 от 13.09.2026 15:36 (касса 71): пескобетон М300 30кг (6 шт. × 260₽ = 1560₽), профиль 50х40х3м (375₽), ГСП влагост. 1500х600х12.5 (2 шт. × 230₽ = 460₽), фибра 150г (194₽), саморезы (21.67₽), мешки 10шт (196₽), стамеска Dexter 14мм (376₽)</t>
        </is>
      </c>
      <c r="K43" s="30" t="n"/>
      <c r="L43" s="30" t="n"/>
      <c r="M43" s="30" t="n"/>
      <c r="N43" s="30" t="n"/>
    </row>
    <row r="44" ht="20" customHeight="1">
      <c r="A44" s="64" t="n">
        <v>40</v>
      </c>
      <c r="B44" s="64" t="inlineStr">
        <is>
          <t>13.09.2026</t>
        </is>
      </c>
      <c r="C44" s="49" t="inlineStr">
        <is>
          <t>Логистика и доставка</t>
        </is>
      </c>
      <c r="D44" s="49" t="inlineStr">
        <is>
          <t>Грузовое такси / Доставка закупки материалов и сантехники (Лемана ПРО — ул. Фрунзе 17)</t>
        </is>
      </c>
      <c r="E44" s="50" t="n">
        <v>2500</v>
      </c>
      <c r="F44" s="51" t="n">
        <v>2100</v>
      </c>
      <c r="G44" s="47">
        <f>E44-F44</f>
        <v/>
      </c>
      <c r="H44" s="63">
        <f>IFERROR(G44/E44, 0)</f>
        <v/>
      </c>
      <c r="I44" s="49" t="inlineStr">
        <is>
          <t>Грузовое такси / Перевозка</t>
        </is>
      </c>
      <c r="J44" s="49" t="inlineStr">
        <is>
          <t>Перевозка партии материалов и сантехники от 13.09.2026 (заказ 774 + черновая закупка) из гипермаркета Лемана ПРО на объект ул. Фрунзе 17 (выгода 400 ₽)</t>
        </is>
      </c>
      <c r="K44" s="30" t="n"/>
      <c r="L44" s="30" t="n"/>
      <c r="M44" s="30" t="n"/>
      <c r="N44" s="30" t="n"/>
    </row>
    <row r="45" ht="20" customHeight="1">
      <c r="A45" s="62" t="n">
        <v>41</v>
      </c>
      <c r="B45" s="62" t="inlineStr">
        <is>
          <t>13.09.2026</t>
        </is>
      </c>
      <c r="C45" s="44" t="inlineStr">
        <is>
          <t>Демонтаж и зачистка</t>
        </is>
      </c>
      <c r="D45" s="44" t="inlineStr">
        <is>
          <t>Погрузка в Лемана ПРО, разгрузка и подъём на 5 этаж + демонтаж старой плитки пола санузла и вынос мусора</t>
        </is>
      </c>
      <c r="E45" s="45" t="n">
        <v>18000</v>
      </c>
      <c r="F45" s="46" t="n">
        <v>15000</v>
      </c>
      <c r="G45" s="47">
        <f>E45-F45</f>
        <v/>
      </c>
      <c r="H45" s="63">
        <f>IFERROR(G45/E45, 0)</f>
        <v/>
      </c>
      <c r="I45" s="44" t="inlineStr">
        <is>
          <t>Бригада грузчиков / Разнорабочие</t>
        </is>
      </c>
      <c r="J45" s="44" t="inlineStr">
        <is>
          <t>Комплекс работ: погрузка всей закупки в Лемана ПРО (~850 кг), разгрузка и ручной подъём на 5 этаж без лифта, сбитие всей старой напольной плитки в санузле и вынос мусора (рынок ~18к, экономия 3 000 ₽)</t>
        </is>
      </c>
      <c r="K45" s="30" t="n"/>
      <c r="L45" s="30" t="n"/>
      <c r="M45" s="30" t="n"/>
      <c r="N45" s="30" t="n"/>
    </row>
    <row r="46" ht="20" customHeight="1">
      <c r="A46" s="64" t="n">
        <v>42</v>
      </c>
      <c r="B46" s="64" t="inlineStr">
        <is>
          <t>14.09.2026</t>
        </is>
      </c>
      <c r="C46" s="49" t="inlineStr">
        <is>
          <t>Черновая отделка / Работы</t>
        </is>
      </c>
      <c r="D46" s="49" t="inlineStr">
        <is>
          <t>Штукатурка (69 м/м² по 500 ₽) и шпаклёвка стен White Box (106 м² по 500 ₽)</t>
        </is>
      </c>
      <c r="E46" s="50" t="n">
        <v>99700</v>
      </c>
      <c r="F46" s="51" t="n">
        <v>87500</v>
      </c>
      <c r="G46" s="47">
        <f>E46-F46</f>
        <v/>
      </c>
      <c r="H46" s="63">
        <f>IFERROR(G46/E46, 0)</f>
        <v/>
      </c>
      <c r="I46" s="49" t="inlineStr">
        <is>
          <t>Елена (мастер-отделочник)</t>
        </is>
      </c>
      <c r="J46" s="49" t="inlineStr">
        <is>
          <t>Штукатурка 69 м² по 500₽ (34 500₽, частично погонаж/углы/штробы, усреднено) + шпаклёвка стен 106 м² по 500₽ (53 000₽). White Box готов к финишу (экономия 12 200 ₽)</t>
        </is>
      </c>
      <c r="K46" s="30" t="n"/>
      <c r="L46" s="30" t="n"/>
      <c r="M46" s="30" t="n"/>
      <c r="N46" s="30" t="n"/>
    </row>
    <row r="47" ht="20" customHeight="1">
      <c r="A47" s="62" t="n">
        <v>43</v>
      </c>
      <c r="B47" s="62" t="inlineStr">
        <is>
          <t>15.09.2026</t>
        </is>
      </c>
      <c r="C47" s="44" t="inlineStr">
        <is>
          <t>Сантехника / Материалы</t>
        </is>
      </c>
      <c r="D47" s="44" t="inlineStr">
        <is>
          <t>Канализация с/у (муфта-восстановитель раструба DN 110/110, трубы ПП 50, тройник 110/50, заглушка, отводы, манжеты, хомуты)</t>
        </is>
      </c>
      <c r="E47" s="45" t="n">
        <v>2988</v>
      </c>
      <c r="F47" s="46" t="n">
        <v>2988</v>
      </c>
      <c r="G47" s="47">
        <f>E47-F47</f>
        <v/>
      </c>
      <c r="H47" s="63">
        <f>IFERROR(G47/E47, 0)</f>
        <v/>
      </c>
      <c r="I47" s="44" t="inlineStr">
        <is>
          <t>ИП Кучеров М.И. (магазин «Полимерстрой», Тула)</t>
        </is>
      </c>
      <c r="J47" s="44" t="inlineStr">
        <is>
          <t>Чек от 15.09.2026 17:25 (карта *6730): восстановитель раструба DN110 (1315₽), тройник 110/50 (189₽), трубы ПП 50 5шт (664₽), заглушка (50₽), отводы/фитинги (394₽), хомуты/манжеты (376₽). Для разводки канализации с/у</t>
        </is>
      </c>
      <c r="K47" s="30" t="n"/>
      <c r="L47" s="30" t="n"/>
      <c r="M47" s="30" t="n"/>
      <c r="N47" s="30" t="n"/>
    </row>
    <row r="48" ht="20" customHeight="1">
      <c r="A48" s="64" t="n">
        <v>44</v>
      </c>
      <c r="B48" s="64" t="inlineStr">
        <is>
          <t>19.09.2026</t>
        </is>
      </c>
      <c r="C48" s="49" t="inlineStr">
        <is>
          <t>Сантехника / Материалы</t>
        </is>
      </c>
      <c r="D48" s="49" t="inlineStr">
        <is>
          <t>Трубы и фитинги PPR для разводки водоснабжения ХВС/ГВС (трубы армированные Faser 20х2.8 12м, фитинги, планка смесителя, кран DN15, клипсы)</t>
        </is>
      </c>
      <c r="E48" s="50" t="n">
        <v>3139.54</v>
      </c>
      <c r="F48" s="51" t="n">
        <v>3139.54</v>
      </c>
      <c r="G48" s="47">
        <f>E48-F48</f>
        <v/>
      </c>
      <c r="H48" s="63">
        <f>IFERROR(G48/E48, 0)</f>
        <v/>
      </c>
      <c r="I48" s="49" t="inlineStr">
        <is>
          <t>ТС «Ваттсон» (АО «Центргазсервис», Тула)</t>
        </is>
      </c>
      <c r="J48" s="49" t="inlineStr">
        <is>
          <t>Чек №23 от 19.09.2026 13:04: труба PN20 Faser 20х2.8 (3 шт. × 4м = 913.11₽), настенный комплект для смесителя (334.22₽), кран шаровой DN15 (258.30₽), муфты/уголки с ВР (716.53₽), углы 90°/45° (305.76₽), тройники (122.40₽), обводы (108.52₽), клипсы (191.70₽), заглушки (189₽)</t>
        </is>
      </c>
      <c r="K48" s="30" t="n"/>
      <c r="L48" s="30" t="n"/>
      <c r="M48" s="30" t="n"/>
      <c r="N48" s="30" t="n"/>
    </row>
    <row r="49" ht="20" customHeight="1">
      <c r="A49" s="62" t="n">
        <v>45</v>
      </c>
      <c r="B49" s="62" t="inlineStr">
        <is>
          <t>20.09.2026</t>
        </is>
      </c>
      <c r="C49" s="44" t="inlineStr">
        <is>
          <t>Черновая отделка / Материалы</t>
        </is>
      </c>
      <c r="D49" s="44" t="inlineStr">
        <is>
          <t>Материалы для штукатурки и гидроизоляции с/у, ревизионный люк, PPR фитинги и инструмент (штукатурка Старатели 8 шт., гидроизоляция Unis 4 кг, люк Fonet, маяки, профиль)</t>
        </is>
      </c>
      <c r="E49" s="45" t="n">
        <v>7827.6</v>
      </c>
      <c r="F49" s="46" t="n">
        <v>7827.6</v>
      </c>
      <c r="G49" s="47">
        <f>E49-F49</f>
        <v/>
      </c>
      <c r="H49" s="63">
        <f>IFERROR(G49/E49, 0)</f>
        <v/>
      </c>
      <c r="I49" s="44" t="inlineStr">
        <is>
          <t>ООО Ле Монлид (Лемана ПРО)</t>
        </is>
      </c>
      <c r="J49" s="44" t="inlineStr">
        <is>
          <t>Чек от 20.09.2026 12:03: штукатурка Старатели 30кг 8шт (4040₽), гидроизоляция Unis Blue Membran 4кг (1568₽), люк Fonet 200х250 (333₽), маяки 10шт (450₽), профиль 50х40 (234₽), PPR фитинги (353.60₽), подводка 1м (248₽), рулетки (405₽), кисть/перчатки/пакет (196₽)</t>
        </is>
      </c>
      <c r="K49" s="140" t="n"/>
      <c r="L49" s="140" t="n"/>
      <c r="M49" s="140" t="n"/>
      <c r="N49" s="140" t="n"/>
    </row>
    <row r="50" ht="20" customHeight="1">
      <c r="A50" s="64" t="n">
        <v>46</v>
      </c>
      <c r="B50" s="64" t="inlineStr">
        <is>
          <t>20.09.2026</t>
        </is>
      </c>
      <c r="C50" s="49" t="inlineStr">
        <is>
          <t>Чистовая отделка / Материалы</t>
        </is>
      </c>
      <c r="D50" s="49" t="inlineStr">
        <is>
          <t>Эмаль аэрозольная Luxens белая сатиновая и матовая 520 мл (2 шт.) для радиаторов отопления и труб</t>
        </is>
      </c>
      <c r="E50" s="50" t="n">
        <v>648</v>
      </c>
      <c r="F50" s="51" t="n">
        <v>648</v>
      </c>
      <c r="G50" s="47">
        <f>E50-F50</f>
        <v/>
      </c>
      <c r="H50" s="63">
        <f>IFERROR(G50/E50, 0)</f>
        <v/>
      </c>
      <c r="I50" s="49" t="inlineStr">
        <is>
          <t>ООО Ле Монлид (Лемана ПРО)</t>
        </is>
      </c>
      <c r="J50" s="49" t="inlineStr">
        <is>
          <t>Чек №123 от 20.09.2026 12:39: эмаль Luxens сатин белый 520мл (324₽) + эмаль Luxens матовая белый 520мл (324₽). Покраска чугунных радиаторов отопления и труб</t>
        </is>
      </c>
      <c r="K50" s="140" t="n"/>
      <c r="L50" s="140" t="n"/>
      <c r="M50" s="140" t="n"/>
      <c r="N50" s="140" t="n"/>
    </row>
    <row r="51" ht="20" customHeight="1">
      <c r="A51" s="62" t="n">
        <v>47</v>
      </c>
      <c r="B51" s="62" t="inlineStr">
        <is>
          <t>20.09.2026</t>
        </is>
      </c>
      <c r="C51" s="44" t="inlineStr">
        <is>
          <t>Черновая отделка / Материалы</t>
        </is>
      </c>
      <c r="D51" s="44" t="inlineStr">
        <is>
          <t>Ускоритель твердения Cemfix для стяжки пола санузла, 1 литр (добавка в раствор/пескобетон М300)</t>
        </is>
      </c>
      <c r="E51" s="45" t="n">
        <v>262</v>
      </c>
      <c r="F51" s="46" t="n">
        <v>262</v>
      </c>
      <c r="G51" s="47">
        <f>E51-F51</f>
        <v/>
      </c>
      <c r="H51" s="63">
        <f>IFERROR(G51/E51, 0)</f>
        <v/>
      </c>
      <c r="I51" s="44" t="inlineStr">
        <is>
          <t>ООО Ле Монлид (Лемана ПРО)</t>
        </is>
      </c>
      <c r="J51" s="44" t="inlineStr">
        <is>
          <t>Чек №138 от 20.09.2026 13:02 (касса 75, карта *6730): ускоритель твердения Cemfix 1л (262₽). Добавка в пескобетон М300 для быстрого набора прочности стяжки пола с/у перед гидроизоляцией</t>
        </is>
      </c>
      <c r="K51" s="140" t="n"/>
      <c r="L51" s="140" t="n"/>
      <c r="M51" s="140" t="n"/>
      <c r="N51" s="140" t="n"/>
    </row>
    <row r="52" ht="20" customHeight="1">
      <c r="A52" s="64" t="n">
        <v>48</v>
      </c>
      <c r="B52" s="64" t="inlineStr">
        <is>
          <t>21.09.2026</t>
        </is>
      </c>
      <c r="C52" s="49" t="inlineStr">
        <is>
          <t>Сантехника / Работы</t>
        </is>
      </c>
      <c r="D52" s="49" t="inlineStr">
        <is>
          <t>Работы сантехника: демонтаж (срезка) полотенцесушителя и нарезка резьб на трубах стояка</t>
        </is>
      </c>
      <c r="E52" s="50" t="n">
        <v>3000</v>
      </c>
      <c r="F52" s="51" t="n">
        <v>3000</v>
      </c>
      <c r="G52" s="47">
        <f>E52-F52</f>
        <v/>
      </c>
      <c r="H52" s="63">
        <f>IFERROR(G52/E52, 0)</f>
        <v/>
      </c>
      <c r="I52" s="49" t="inlineStr">
        <is>
          <t>Вадим (сантехник УК) / Сантехник</t>
        </is>
      </c>
      <c r="J52" s="49" t="inlineStr">
        <is>
          <t>Срезка старого полотенцесушителя (змеевика), нарезка 2 трубных резьб клуппом под установку запорных кранов</t>
        </is>
      </c>
      <c r="K52" s="140" t="n"/>
      <c r="L52" s="140" t="n"/>
      <c r="M52" s="140" t="n"/>
      <c r="N52" s="140" t="n"/>
    </row>
    <row r="53" ht="20" customHeight="1">
      <c r="A53" s="62" t="n">
        <v>49</v>
      </c>
      <c r="B53" s="62" t="inlineStr">
        <is>
          <t>21.09.2026</t>
        </is>
      </c>
      <c r="C53" s="44" t="inlineStr">
        <is>
          <t>Логистика и доставка</t>
        </is>
      </c>
      <c r="D53" s="44" t="inlineStr">
        <is>
          <t>Такси (доставка / оперативный подвоз материалов и инструмента из Лемана ПРО на объект)</t>
        </is>
      </c>
      <c r="E53" s="45" t="n">
        <v>1000</v>
      </c>
      <c r="F53" s="46" t="n">
        <v>1000</v>
      </c>
      <c r="G53" s="47">
        <f>E53-F53</f>
        <v/>
      </c>
      <c r="H53" s="63">
        <f>IFERROR(G53/E53, 0)</f>
        <v/>
      </c>
      <c r="I53" s="44" t="inlineStr">
        <is>
          <t>Такси (Яндекс Go)</t>
        </is>
      </c>
      <c r="J53" s="44" t="inlineStr">
        <is>
          <t>Оперативная доставка закупленного инструмента и материалов из Лемана ПРО на ул. Фрунзе 17</t>
        </is>
      </c>
      <c r="K53" s="140" t="n"/>
      <c r="L53" s="140" t="n"/>
      <c r="M53" s="140" t="n"/>
      <c r="N53" s="140" t="n"/>
    </row>
    <row r="54" ht="20" customHeight="1">
      <c r="A54" s="64" t="n">
        <v>50</v>
      </c>
      <c r="B54" s="64" t="inlineStr">
        <is>
          <t>21.09.2026</t>
        </is>
      </c>
      <c r="C54" s="49" t="inlineStr">
        <is>
          <t>Черновая отделка / Материалы</t>
        </is>
      </c>
      <c r="D54" s="49" t="inlineStr">
        <is>
          <t>Пистолет для герметика (скелетный/усиленный) и герметик санитарный силиконовый (Лемана ПРО)</t>
        </is>
      </c>
      <c r="E54" s="50" t="n">
        <v>650</v>
      </c>
      <c r="F54" s="51" t="n">
        <v>650</v>
      </c>
      <c r="G54" s="47">
        <f>E54-F54</f>
        <v/>
      </c>
      <c r="H54" s="63">
        <f>IFERROR(G54/E54, 0)</f>
        <v/>
      </c>
      <c r="I54" s="49" t="inlineStr">
        <is>
          <t>ООО Ле Монлид (Лемана ПРО)</t>
        </is>
      </c>
      <c r="J54" s="49" t="inlineStr">
        <is>
          <t>Пистолет для туб герметика + влагостойкий санитарный герметик для санузла и ванны</t>
        </is>
      </c>
      <c r="K54" s="140" t="n"/>
      <c r="L54" s="140" t="n"/>
      <c r="M54" s="140" t="n"/>
      <c r="N54" s="140" t="n"/>
    </row>
    <row r="55" ht="20" customHeight="1">
      <c r="A55" s="62" t="n">
        <v>51</v>
      </c>
      <c r="B55" s="62" t="inlineStr">
        <is>
          <t>23.09.2026</t>
        </is>
      </c>
      <c r="C55" s="44" t="inlineStr">
        <is>
          <t>Черновая отделка / Материалы</t>
        </is>
      </c>
      <c r="D55" s="44" t="inlineStr">
        <is>
          <t>Штукатурка гипсовая Старатели 30кг 3шт (1515₽), перчатки, мешки 3шт (Лемана ПРО)</t>
        </is>
      </c>
      <c r="E55" s="45" t="n">
        <v>1638</v>
      </c>
      <c r="F55" s="46" t="n">
        <v>1638</v>
      </c>
      <c r="G55" s="47">
        <f>E55-F55</f>
        <v/>
      </c>
      <c r="H55" s="63">
        <f>IFERROR(G55/E55, 0)</f>
        <v/>
      </c>
      <c r="I55" s="44" t="inlineStr">
        <is>
          <t>ООО Ле Монлид (Лемана ПРО)</t>
        </is>
      </c>
      <c r="J55" s="44" t="inlineStr">
        <is>
          <t>Чек от 23.09.2026 15:55 (касса 72): штукатурка Старатели 30кг 3шт по 505₽=1515₽, перчатки х/б 13кл 27₽, мешки 3шт по 32₽=96₽</t>
        </is>
      </c>
      <c r="K55" s="140" t="n"/>
      <c r="L55" s="140" t="n"/>
      <c r="M55" s="140" t="n"/>
      <c r="N55" s="140" t="n"/>
    </row>
    <row r="56" ht="20" customHeight="1">
      <c r="A56" s="64" t="n">
        <v>52</v>
      </c>
      <c r="B56" s="64" t="inlineStr">
        <is>
          <t>23.09.2026</t>
        </is>
      </c>
      <c r="C56" s="49" t="inlineStr">
        <is>
          <t>Чистовая отделка / Материалы</t>
        </is>
      </c>
      <c r="D56" s="49" t="inlineStr">
        <is>
          <t>Грунт-эмаль Luxens 3в1 белая 2.4кг (1492₽), щетка 5-рядная, кисть Dilwis 70мм (Лемана ПРО)</t>
        </is>
      </c>
      <c r="E56" s="50" t="n">
        <v>1769</v>
      </c>
      <c r="F56" s="51" t="n">
        <v>1769</v>
      </c>
      <c r="G56" s="47">
        <f>E56-F56</f>
        <v/>
      </c>
      <c r="H56" s="63">
        <f>IFERROR(G56/E56, 0)</f>
        <v/>
      </c>
      <c r="I56" s="49" t="inlineStr">
        <is>
          <t>ООО Ле Монлид (Лемана ПРО)</t>
        </is>
      </c>
      <c r="J56" s="49" t="inlineStr">
        <is>
          <t>Чек от 23.09.2026 16:10 (касса 75): грунт-эмаль Luxens 3в1 белая 2.4кг (1492₽), кисть Dilwis 70мм (171₽), щетка металл 260мм (106₽)</t>
        </is>
      </c>
      <c r="K56" s="140" t="n"/>
      <c r="L56" s="140" t="n"/>
      <c r="M56" s="140" t="n"/>
      <c r="N56" s="140" t="n"/>
    </row>
    <row r="57" ht="20" customHeight="1">
      <c r="A57" s="62" t="n">
        <v>53</v>
      </c>
      <c r="B57" s="62" t="inlineStr">
        <is>
          <t>25.09.2026</t>
        </is>
      </c>
      <c r="C57" s="44" t="inlineStr">
        <is>
          <t>Черновая отделка / Материалы</t>
        </is>
      </c>
      <c r="D57" s="44" t="inlineStr">
        <is>
          <t>Профиль ППН 27х28х3000 3шт, профиль ПП 60х27 1шт, саморезы ПШС и ШСГД/ШСГМ (Лемана ПРО)</t>
        </is>
      </c>
      <c r="E57" s="45" t="n">
        <v>911.7</v>
      </c>
      <c r="F57" s="46" t="n">
        <v>911.7</v>
      </c>
      <c r="G57" s="47">
        <f>E57-F57</f>
        <v/>
      </c>
      <c r="H57" s="63">
        <f>IFERROR(G57/E57, 0)</f>
        <v/>
      </c>
      <c r="I57" s="44" t="inlineStr">
        <is>
          <t>ООО Ле Монлид (Лемана ПРО)</t>
        </is>
      </c>
      <c r="J57" s="44" t="inlineStr">
        <is>
          <t>Чек от 25.09.2026 08:18 (касса 78): профиль ППН 3шт (372₽), профиль ПП 1шт (193₽), саморезы оцинкованные и фосфатированные 1.122кг (346.70₽)</t>
        </is>
      </c>
      <c r="K57" s="140" t="n"/>
      <c r="L57" s="140" t="n"/>
      <c r="M57" s="140" t="n"/>
      <c r="N57" s="140" t="n"/>
    </row>
    <row r="58" ht="20" customHeight="1">
      <c r="A58" s="64" t="n">
        <v>54</v>
      </c>
      <c r="B58" s="64" t="inlineStr">
        <is>
          <t>25.09.2026</t>
        </is>
      </c>
      <c r="C58" s="49" t="inlineStr">
        <is>
          <t>Черновая отделка / Материалы</t>
        </is>
      </c>
      <c r="D58" s="49" t="inlineStr">
        <is>
          <t>ГСП-Н3 Knauf влагост. 1500х600х12.5 2шт, штукатурка Старатели 30кг, профили 28х27 2шт и 60х27 1шт, перчатки (Лемана ПРО)</t>
        </is>
      </c>
      <c r="E58" s="50" t="n">
        <v>1582</v>
      </c>
      <c r="F58" s="51" t="n">
        <v>1582</v>
      </c>
      <c r="G58" s="47">
        <f>E58-F58</f>
        <v/>
      </c>
      <c r="H58" s="63">
        <f>IFERROR(G58/E58, 0)</f>
        <v/>
      </c>
      <c r="I58" s="49" t="inlineStr">
        <is>
          <t>ООО Ле Монлид (Лемана ПРО)</t>
        </is>
      </c>
      <c r="J58" s="49" t="inlineStr">
        <is>
          <t>Чек от 25.09.2026 15:53 (касса 76): ГСП влагост. Knauf 2шт (460₽), штукатурка Старатели 30кг (505₽), профиль ППН 28х27 2шт (282₽), профиль Knauf 60х27 (308₽), перчатки (27₽)</t>
        </is>
      </c>
      <c r="K58" s="140" t="n"/>
      <c r="L58" s="140" t="n"/>
      <c r="M58" s="140" t="n"/>
      <c r="N58" s="140" t="n"/>
    </row>
    <row r="59" ht="20" customHeight="1">
      <c r="A59" s="62" t="n">
        <v>55</v>
      </c>
      <c r="B59" s="62" t="inlineStr">
        <is>
          <t>26.09.2026</t>
        </is>
      </c>
      <c r="C59" s="44" t="inlineStr">
        <is>
          <t>Чистовая отделка / Материалы</t>
        </is>
      </c>
      <c r="D59" s="44" t="inlineStr">
        <is>
          <t>Ламинат Kronostep Ultrastep Дуб Ночиолла 33 кл 10мм 24 упак./41.52м², подложка Monlid 3мм 9шт, плинтус белый 8см 20шт</t>
        </is>
      </c>
      <c r="E59" s="45" t="n">
        <v>45551.52</v>
      </c>
      <c r="F59" s="46" t="n">
        <v>41914.52</v>
      </c>
      <c r="G59" s="47">
        <f>E59-F59</f>
        <v/>
      </c>
      <c r="H59" s="63">
        <f>IFERROR(G59/E59, 0)</f>
        <v/>
      </c>
      <c r="I59" s="44" t="inlineStr">
        <is>
          <t>ООО Ле Монлид (Лемана ПРО)</t>
        </is>
      </c>
      <c r="J59" s="44" t="inlineStr">
        <is>
          <t>Чек от 26.09.2026 17:41: ламинат Дуб Ночиолла 24 упак. (32734.52₽ с учетом скидки -3637₽), подложка Monlid 3мм 9шт (4680₽), плинтус белый 80мм 20шт (4500₽). Скидка по промокоду -3 637.00 ₽</t>
        </is>
      </c>
      <c r="K59" s="140" t="n"/>
      <c r="L59" s="140" t="n"/>
      <c r="M59" s="140" t="n"/>
      <c r="N59" s="140" t="n"/>
    </row>
    <row r="60" ht="20" customHeight="1">
      <c r="A60" s="64" t="n">
        <v>56</v>
      </c>
      <c r="B60" s="64" t="inlineStr">
        <is>
          <t>26.09.2026</t>
        </is>
      </c>
      <c r="C60" s="49" t="inlineStr">
        <is>
          <t>Черновая отделка / Материалы</t>
        </is>
      </c>
      <c r="D60" s="49" t="inlineStr">
        <is>
          <t>Грунт перекрывающий пятна Axton 1л, клей монтажный Kudo 2шт, валик нат. мех 110мм, макловица-мини (Лемана ПРО)</t>
        </is>
      </c>
      <c r="E60" s="50" t="n">
        <v>1070</v>
      </c>
      <c r="F60" s="51" t="n">
        <v>1070</v>
      </c>
      <c r="G60" s="47">
        <f>E60-F60</f>
        <v/>
      </c>
      <c r="H60" s="63">
        <f>IFERROR(G60/E60, 0)</f>
        <v/>
      </c>
      <c r="I60" s="49" t="inlineStr">
        <is>
          <t>ООО Ле Монлид (Лемана ПРО)</t>
        </is>
      </c>
      <c r="J60" s="49" t="inlineStr">
        <is>
          <t>Чек от 26.09.2026 17:40 (касса 76): грунт блокирующий пятна Axton 1л (427₽), клей монтажный Kudo 2шт (410₽), валик 110мм (96₽), макловица-мини (137₽)</t>
        </is>
      </c>
      <c r="K60" s="140" t="n"/>
      <c r="L60" s="140" t="n"/>
      <c r="M60" s="140" t="n"/>
      <c r="N60" s="140" t="n"/>
    </row>
    <row r="61" ht="20" customHeight="1">
      <c r="A61" s="62" t="n">
        <v>57</v>
      </c>
      <c r="B61" s="62" t="inlineStr">
        <is>
          <t>27.09.2026</t>
        </is>
      </c>
      <c r="C61" s="44" t="inlineStr">
        <is>
          <t>Инструмент и расходники</t>
        </is>
      </c>
      <c r="D61" s="44" t="inlineStr">
        <is>
          <t>Расходные материалы и инструмент: швабра, тряпки 3шт, краска Olimp 0.9л, лента упак., саморезы, макловица, ножи 2шт, карандаш (Лемана ПРО)</t>
        </is>
      </c>
      <c r="E61" s="45" t="n">
        <v>1707.17</v>
      </c>
      <c r="F61" s="46" t="n">
        <v>1707.17</v>
      </c>
      <c r="G61" s="47">
        <f>E61-F61</f>
        <v/>
      </c>
      <c r="H61" s="63">
        <f>IFERROR(G61/E61, 0)</f>
        <v/>
      </c>
      <c r="I61" s="44" t="inlineStr">
        <is>
          <t>ООО Ле Монлид (Лемана ПРО)</t>
        </is>
      </c>
      <c r="J61" s="44" t="inlineStr">
        <is>
          <t>Чек от 27.09.2026 09:53 (касса 72): швабра In Loran (426₽), тряпки 3шт (120₽), краска Olimp акрил 0.9л (294₽), клейкая лента Axton (101₽), саморезы 0.314кг (140.67₽), макловица (137₽), ножи 2шт (160₽), карандаш (50₽) и др.</t>
        </is>
      </c>
      <c r="K61" s="140" t="n"/>
      <c r="L61" s="140" t="n"/>
      <c r="M61" s="140" t="n"/>
      <c r="N61" s="140" t="n"/>
    </row>
    <row r="62" ht="20" customHeight="1">
      <c r="A62" s="64" t="n">
        <v>58</v>
      </c>
      <c r="B62" s="64" t="inlineStr">
        <is>
          <t>27.09.2026</t>
        </is>
      </c>
      <c r="C62" s="49" t="inlineStr">
        <is>
          <t>Электрика / Материалы</t>
        </is>
      </c>
      <c r="D62" s="49" t="inlineStr">
        <is>
          <t>Электротовары (расходники/комплектующие электрики, ул. Коминтерна 26)</t>
        </is>
      </c>
      <c r="E62" s="50" t="n">
        <v>190</v>
      </c>
      <c r="F62" s="51" t="n">
        <v>190</v>
      </c>
      <c r="G62" s="47">
        <f>E62-F62</f>
        <v/>
      </c>
      <c r="H62" s="63">
        <f>IFERROR(G62/E62, 0)</f>
        <v/>
      </c>
      <c r="I62" s="49" t="inlineStr">
        <is>
          <t>Магазин «Электротовары» (Коминтерна 26)</t>
        </is>
      </c>
      <c r="J62" s="49" t="inlineStr">
        <is>
          <t>Слип терминала Сбербанк от 27.09.2026 13:08 (карта *6730): покупка электротоваров на ул. Коминтерна 26</t>
        </is>
      </c>
      <c r="K62" s="140" t="n"/>
      <c r="L62" s="140" t="n"/>
      <c r="M62" s="140" t="n"/>
      <c r="N62" s="140" t="n"/>
    </row>
    <row r="63" ht="20" customHeight="1">
      <c r="A63" s="62" t="n">
        <v>59</v>
      </c>
      <c r="B63" s="62" t="inlineStr">
        <is>
          <t>27.09.2026</t>
        </is>
      </c>
      <c r="C63" s="44" t="inlineStr">
        <is>
          <t>Инструмент и расходники</t>
        </is>
      </c>
      <c r="D63" s="44" t="inlineStr">
        <is>
          <t>Клинья для плитки СВП 32х8х9мм 50шт (Магазин крепежа, Мосина 29)</t>
        </is>
      </c>
      <c r="E63" s="45" t="n">
        <v>210</v>
      </c>
      <c r="F63" s="46" t="n">
        <v>210</v>
      </c>
      <c r="G63" s="47">
        <f>E63-F63</f>
        <v/>
      </c>
      <c r="H63" s="63">
        <f>IFERROR(G63/E63, 0)</f>
        <v/>
      </c>
      <c r="I63" s="44" t="inlineStr">
        <is>
          <t>ИП Звягинцева С.Н. (Магазин крепежа)</t>
        </is>
      </c>
      <c r="J63" s="44" t="inlineStr">
        <is>
          <t>Чек от 27.09.2026 13:23: клинья для плитки 50шт (210₽)</t>
        </is>
      </c>
      <c r="K63" s="140" t="n"/>
      <c r="L63" s="140" t="n"/>
      <c r="M63" s="140" t="n"/>
      <c r="N63" s="140" t="n"/>
    </row>
    <row r="64" ht="20" customHeight="1">
      <c r="A64" s="64" t="n">
        <v>60</v>
      </c>
      <c r="B64" s="64" t="inlineStr">
        <is>
          <t>27.09.2026</t>
        </is>
      </c>
      <c r="C64" s="49" t="inlineStr">
        <is>
          <t>Логистика и доставка</t>
        </is>
      </c>
      <c r="D64" s="49" t="inlineStr">
        <is>
          <t>Такси (оперативная доставка / подвоз материалов на объект)</t>
        </is>
      </c>
      <c r="E64" s="50" t="n">
        <v>850</v>
      </c>
      <c r="F64" s="51" t="n">
        <v>850</v>
      </c>
      <c r="G64" s="47">
        <f>E64-F64</f>
        <v/>
      </c>
      <c r="H64" s="63">
        <f>IFERROR(G64/E64, 0)</f>
        <v/>
      </c>
      <c r="I64" s="49" t="inlineStr">
        <is>
          <t>Такси (Яндекс Go)</t>
        </is>
      </c>
      <c r="J64" s="49" t="inlineStr">
        <is>
          <t>Оперативная доставка материалов на объект ул. Фрунзе 17</t>
        </is>
      </c>
      <c r="K64" s="140" t="n"/>
      <c r="L64" s="140" t="n"/>
      <c r="M64" s="140" t="n"/>
      <c r="N64" s="140" t="n"/>
    </row>
    <row r="65" ht="20" customHeight="1">
      <c r="A65" s="62" t="n">
        <v>61</v>
      </c>
      <c r="B65" s="62" t="inlineStr">
        <is>
          <t>27.09.2026</t>
        </is>
      </c>
      <c r="C65" s="44" t="inlineStr">
        <is>
          <t>Чистовая отделка / Работы</t>
        </is>
      </c>
      <c r="D65" s="44" t="inlineStr">
        <is>
          <t>Работы плиточника (аванс / подготовка к укладке плитки в санузле)</t>
        </is>
      </c>
      <c r="E65" s="45" t="n">
        <v>1700</v>
      </c>
      <c r="F65" s="46" t="n">
        <v>1700</v>
      </c>
      <c r="G65" s="47">
        <f>E65-F65</f>
        <v/>
      </c>
      <c r="H65" s="63">
        <f>IFERROR(G65/E65, 0)</f>
        <v/>
      </c>
      <c r="I65" s="44" t="inlineStr">
        <is>
          <t>Плиточник (мастер)</t>
        </is>
      </c>
      <c r="J65" s="44" t="inlineStr">
        <is>
          <t>Оплата плиточнику за работы в санузле</t>
        </is>
      </c>
      <c r="K65" s="140" t="n"/>
      <c r="L65" s="140" t="n"/>
      <c r="M65" s="140" t="n"/>
      <c r="N65" s="140" t="n"/>
    </row>
    <row r="66" ht="20" customHeight="1">
      <c r="A66" s="64" t="n">
        <v>62</v>
      </c>
      <c r="B66" s="64" t="inlineStr">
        <is>
          <t>27.09.2026</t>
        </is>
      </c>
      <c r="C66" s="49" t="inlineStr">
        <is>
          <t>Черновая отделка / Работы</t>
        </is>
      </c>
      <c r="D66" s="49" t="inlineStr">
        <is>
          <t>Работы плиточника: заливка стяжки пола в санузле/туалете</t>
        </is>
      </c>
      <c r="E66" s="50" t="n">
        <v>3500</v>
      </c>
      <c r="F66" s="51" t="n">
        <v>3300</v>
      </c>
      <c r="G66" s="47">
        <f>E66-F66</f>
        <v/>
      </c>
      <c r="H66" s="63">
        <f>IFERROR(G66/E66, 0)</f>
        <v/>
      </c>
      <c r="I66" s="49" t="inlineStr">
        <is>
          <t>Плиточник (мастер)</t>
        </is>
      </c>
      <c r="J66" s="49" t="inlineStr">
        <is>
          <t>Заливка стяжки пола в санузле по маякам (пескобетон М300 + фибра + Cemfix)</t>
        </is>
      </c>
      <c r="K66" s="140" t="n"/>
      <c r="L66" s="140" t="n"/>
      <c r="M66" s="140" t="n"/>
      <c r="N66" s="140" t="n"/>
    </row>
    <row r="67" ht="20" customHeight="1">
      <c r="A67" s="62" t="n">
        <v>63</v>
      </c>
      <c r="B67" s="62" t="inlineStr">
        <is>
          <t>27.09.2026</t>
        </is>
      </c>
      <c r="C67" s="44" t="inlineStr">
        <is>
          <t>Черновая отделка / Работы</t>
        </is>
      </c>
      <c r="D67" s="44" t="inlineStr">
        <is>
          <t>Оплата за штукатурку туалета (санузла) под 90° под ванну и плитку</t>
        </is>
      </c>
      <c r="E67" s="45" t="n">
        <v>15000</v>
      </c>
      <c r="F67" s="46" t="n">
        <v>13400</v>
      </c>
      <c r="G67" s="47">
        <f>E67-F67</f>
        <v/>
      </c>
      <c r="H67" s="63">
        <f>IFERROR(G67/E67, 0)</f>
        <v/>
      </c>
      <c r="I67" s="44" t="inlineStr">
        <is>
          <t>Елена (мастер-отделочник)</t>
        </is>
      </c>
      <c r="J67" s="44" t="inlineStr">
        <is>
          <t>Штукатурка стен санузла по маякам с выведением геометрии под 90° для монтажа ванны (выгода 1 600 ₽)</t>
        </is>
      </c>
      <c r="K67" s="140" t="n"/>
      <c r="L67" s="140" t="n"/>
      <c r="M67" s="140" t="n"/>
      <c r="N67" s="140" t="n"/>
    </row>
    <row r="68" ht="20" customHeight="1">
      <c r="A68" s="64" t="n">
        <v>64</v>
      </c>
      <c r="B68" s="64" t="inlineStr">
        <is>
          <t>27.09.2026</t>
        </is>
      </c>
      <c r="C68" s="49" t="inlineStr">
        <is>
          <t>Сантехника / Материалы</t>
        </is>
      </c>
      <c r="D68" s="49" t="inlineStr">
        <is>
          <t>Два крана на радиаторы отопления (запорно-регулировочные краны)</t>
        </is>
      </c>
      <c r="E68" s="50" t="n">
        <v>1100</v>
      </c>
      <c r="F68" s="51" t="n">
        <v>1100</v>
      </c>
      <c r="G68" s="47">
        <f>E68-F68</f>
        <v/>
      </c>
      <c r="H68" s="63">
        <f>IFERROR(G68/E68, 0)</f>
        <v/>
      </c>
      <c r="I68" s="49" t="inlineStr">
        <is>
          <t>Сантехмаркет / Хозмаг</t>
        </is>
      </c>
      <c r="J68" s="49" t="inlineStr">
        <is>
          <t>2 крана для радиаторов отопления (замена / обвязка приборов)</t>
        </is>
      </c>
      <c r="K68" s="140" t="n"/>
      <c r="L68" s="140" t="n"/>
      <c r="M68" s="140" t="n"/>
      <c r="N68" s="140" t="n"/>
    </row>
    <row r="69" ht="20" customHeight="1">
      <c r="A69" s="62" t="n">
        <v>65</v>
      </c>
      <c r="B69" s="62" t="inlineStr">
        <is>
          <t>29.09.2026</t>
        </is>
      </c>
      <c r="C69" s="44" t="inlineStr">
        <is>
          <t>Сантехника / Материалы</t>
        </is>
      </c>
      <c r="D69" s="44" t="inlineStr">
        <is>
          <t>Материалы сантехники и оснастка: труба ПП арм. D20 2шт, отвод 50х15°, гибкий соединитель D50, биты PH2 (Лемана ПРО)</t>
        </is>
      </c>
      <c r="E69" s="45" t="n">
        <v>550</v>
      </c>
      <c r="F69" s="46" t="n">
        <v>550</v>
      </c>
      <c r="G69" s="47">
        <f>E69-F69</f>
        <v/>
      </c>
      <c r="H69" s="63">
        <f>IFERROR(G69/E69, 0)</f>
        <v/>
      </c>
      <c r="I69" s="44" t="inlineStr">
        <is>
          <t>ООО Ле Монлид (Лемана ПРО)</t>
        </is>
      </c>
      <c r="J69" s="44" t="inlineStr">
        <is>
          <t>Чек от 29.09.2026 08:15 (касса 74): труба ПП D20 2шт (206₽), отвод 50х15° (50₽), гибкий соединитель D50 (114₽), биты Rage PH2 70мм (180₽)</t>
        </is>
      </c>
      <c r="K69" s="140" t="n"/>
      <c r="L69" s="140" t="n"/>
      <c r="M69" s="140" t="n"/>
      <c r="N69" s="140" t="n"/>
    </row>
    <row r="70" ht="20" customHeight="1">
      <c r="A70" s="64" t="n">
        <v>66</v>
      </c>
      <c r="B70" s="64" t="inlineStr">
        <is>
          <t>29.09.2026</t>
        </is>
      </c>
      <c r="C70" s="49" t="inlineStr">
        <is>
          <t>Чистовая отделка / Материалы</t>
        </is>
      </c>
      <c r="D70" s="49" t="inlineStr">
        <is>
          <t>Керамогранит Calacatta superwhite 60х120 (добор 2 упак. / 2.88 м²)</t>
        </is>
      </c>
      <c r="E70" s="50" t="n">
        <v>5876</v>
      </c>
      <c r="F70" s="51" t="n">
        <v>5876</v>
      </c>
      <c r="G70" s="47">
        <f>E70-F70</f>
        <v/>
      </c>
      <c r="H70" s="63">
        <f>IFERROR(G70/E70, 0)</f>
        <v/>
      </c>
      <c r="I70" s="49" t="inlineStr">
        <is>
          <t>ООО Ле Монлид (Лемана ПРО)</t>
        </is>
      </c>
      <c r="J70" s="49" t="inlineStr">
        <is>
          <t>Чек от 29.09.2026 08:07 (касса 73, заказ 2161260912448255): керамогранит Calacatta superwhite 60х120 2 упак. по 2938₽ = 5876₽</t>
        </is>
      </c>
      <c r="K70" s="140" t="n"/>
      <c r="L70" s="140" t="n"/>
      <c r="M70" s="140" t="n"/>
      <c r="N70" s="140" t="n"/>
    </row>
    <row r="71" ht="20" customHeight="1">
      <c r="A71" s="62" t="n">
        <v>67</v>
      </c>
      <c r="B71" s="62" t="inlineStr">
        <is>
          <t>29.09.2026</t>
        </is>
      </c>
      <c r="C71" s="44" t="inlineStr">
        <is>
          <t>Инструмент и расходники</t>
        </is>
      </c>
      <c r="D71" s="44" t="inlineStr">
        <is>
          <t>Уголки для плитки (Михаил)</t>
        </is>
      </c>
      <c r="E71" s="45" t="n">
        <v>260</v>
      </c>
      <c r="F71" s="46" t="n">
        <v>260</v>
      </c>
      <c r="G71" s="47">
        <f>E71-F71</f>
        <v/>
      </c>
      <c r="H71" s="63">
        <f>IFERROR(G71/E71, 0)</f>
        <v/>
      </c>
      <c r="I71" s="44" t="inlineStr">
        <is>
          <t>Михаил (мастер/плиточник)</t>
        </is>
      </c>
      <c r="J71" s="44" t="inlineStr">
        <is>
          <t>Оплата Михаилу за уголки для плитки в санузле (260 ₽)</t>
        </is>
      </c>
      <c r="K71" s="140" t="n"/>
      <c r="L71" s="140" t="n"/>
      <c r="M71" s="140" t="n"/>
      <c r="N71" s="140" t="n"/>
    </row>
    <row r="72" ht="20" customHeight="1">
      <c r="A72" s="64" t="n">
        <v>68</v>
      </c>
      <c r="B72" s="64" t="inlineStr">
        <is>
          <t>29.09.2026</t>
        </is>
      </c>
      <c r="C72" s="49" t="inlineStr">
        <is>
          <t>Сантехника / Работы</t>
        </is>
      </c>
      <c r="D72" s="49" t="inlineStr">
        <is>
          <t>Работы сантехников (разводка/монтаж узлов водоснабжения и канализации)</t>
        </is>
      </c>
      <c r="E72" s="50" t="n">
        <v>3000</v>
      </c>
      <c r="F72" s="51" t="n">
        <v>3000</v>
      </c>
      <c r="G72" s="47">
        <f>E72-F72</f>
        <v/>
      </c>
      <c r="H72" s="63">
        <f>IFERROR(G72/E72, 0)</f>
        <v/>
      </c>
      <c r="I72" s="49" t="inlineStr">
        <is>
          <t>Сантехники (мастера)</t>
        </is>
      </c>
      <c r="J72" s="49" t="inlineStr">
        <is>
          <t>Оплата работы сантехников за разводку/монтаж в санузле (3 000 ₽)</t>
        </is>
      </c>
      <c r="K72" s="140" t="n"/>
      <c r="L72" s="140" t="n"/>
      <c r="M72" s="140" t="n"/>
      <c r="N72" s="140" t="n"/>
    </row>
    <row r="73" ht="20" customHeight="1">
      <c r="A73" s="62" t="n">
        <v>69</v>
      </c>
      <c r="B73" s="62" t="inlineStr">
        <is>
          <t>29.09.2026</t>
        </is>
      </c>
      <c r="C73" s="44" t="inlineStr">
        <is>
          <t>Газ / Работы и материалы</t>
        </is>
      </c>
      <c r="D73" s="44" t="inlineStr">
        <is>
          <t>Работы газовщика: перенос / срезка / перемонтаж газовой трубы на кухне</t>
        </is>
      </c>
      <c r="E73" s="45" t="n">
        <v>7300</v>
      </c>
      <c r="F73" s="46" t="n">
        <v>7300</v>
      </c>
      <c r="G73" s="47">
        <f>E73-F73</f>
        <v/>
      </c>
      <c r="H73" s="63">
        <f>IFERROR(G73/E73, 0)</f>
        <v/>
      </c>
      <c r="I73" s="44" t="inlineStr">
        <is>
          <t>Газовщик (мастер / горгаз)</t>
        </is>
      </c>
      <c r="J73" s="44" t="inlineStr">
        <is>
          <t>Оплата газовщику за перенос/срезку и обвязку газовой трубы на кухне (7 300 ₽)</t>
        </is>
      </c>
      <c r="K73" s="140" t="n"/>
      <c r="L73" s="140" t="n"/>
      <c r="M73" s="140" t="n"/>
      <c r="N73" s="140" t="n"/>
    </row>
    <row r="74" ht="20" customHeight="1">
      <c r="A74" s="64" t="n">
        <v>70</v>
      </c>
      <c r="B74" s="64" t="inlineStr">
        <is>
          <t>07.10.2026</t>
        </is>
      </c>
      <c r="C74" s="49" t="inlineStr">
        <is>
          <t>Чистовая отделка / Материалы</t>
        </is>
      </c>
      <c r="D74" s="49" t="inlineStr">
        <is>
          <t>Материалы для поклейки обоев (обои Twid 12 рул., клей Kleo 4 шт., грунтовка Knauf 10 кг, шпатели, валики, салфетки)</t>
        </is>
      </c>
      <c r="E74" s="50" t="n">
        <v>27045</v>
      </c>
      <c r="F74" s="51" t="n">
        <v>24893</v>
      </c>
      <c r="G74" s="47">
        <f>E74-F74</f>
        <v/>
      </c>
      <c r="H74" s="63">
        <f>IF(E74&gt;0;G74/E74;0)</f>
        <v/>
      </c>
      <c r="I74" s="49" t="inlineStr">
        <is>
          <t>ООО Ле Монлид (Лемана ПРО)</t>
        </is>
      </c>
      <c r="J74" s="49" t="inlineStr">
        <is>
          <t>Чек от 07.10.2026 18:25 (касса 4): обои Twid 1.06х10 12 рул. (19 376 ₽ с учетом скидки), грунтовка Knauf 10кг (1 421 ₽), клей Kleo 4 шт. (3 328 ₽), шпатели, салфетки, валик и бюгель. Скидка по промокоду -2 152 ₽</t>
        </is>
      </c>
    </row>
    <row r="75" ht="20" customHeight="1">
      <c r="A75" s="62" t="n">
        <v>71</v>
      </c>
      <c r="B75" s="62" t="inlineStr">
        <is>
          <t>07.10.2026</t>
        </is>
      </c>
      <c r="C75" s="44" t="inlineStr">
        <is>
          <t>Логистика и доставка</t>
        </is>
      </c>
      <c r="D75" s="44" t="inlineStr">
        <is>
          <t>Такси (доставка / подвоз материалов на объект ул. Фрунзе 17)</t>
        </is>
      </c>
      <c r="E75" s="45" t="n">
        <v>1050</v>
      </c>
      <c r="F75" s="46" t="n">
        <v>1050</v>
      </c>
      <c r="G75" s="47">
        <f>E75-F75</f>
        <v/>
      </c>
      <c r="H75" s="63">
        <f>IF(E75&gt;0;G75/E75;0)</f>
        <v/>
      </c>
      <c r="I75" s="44" t="inlineStr">
        <is>
          <t>Такси</t>
        </is>
      </c>
      <c r="J75" s="44" t="inlineStr">
        <is>
          <t>Оперативная доставка материалов и оснащения на объект ул. Фрунзе 17</t>
        </is>
      </c>
    </row>
    <row r="76" ht="20" customHeight="1">
      <c r="A76" s="64" t="n">
        <v>72</v>
      </c>
      <c r="B76" s="64" t="inlineStr">
        <is>
          <t>07.10.2026</t>
        </is>
      </c>
      <c r="C76" s="49" t="inlineStr">
        <is>
          <t>Безопасность / Доступ</t>
        </is>
      </c>
      <c r="D76" s="49" t="inlineStr">
        <is>
          <t>Ключи от домофона (дубликаты для мастеров и объекта)</t>
        </is>
      </c>
      <c r="E76" s="50" t="n">
        <v>500</v>
      </c>
      <c r="F76" s="51" t="n">
        <v>500</v>
      </c>
      <c r="G76" s="47">
        <f>E76-F76</f>
        <v/>
      </c>
      <c r="H76" s="63">
        <f>IF(E76&gt;0;G76/E76;0)</f>
        <v/>
      </c>
      <c r="I76" s="49" t="inlineStr">
        <is>
          <t>Изготовление ключей</t>
        </is>
      </c>
      <c r="J76" s="49" t="inlineStr">
        <is>
          <t>Изготовление комплекта домофонных ключей для доступа рабочих</t>
        </is>
      </c>
    </row>
    <row r="77" ht="20" customHeight="1">
      <c r="A77" s="62" t="n">
        <v>73</v>
      </c>
      <c r="B77" s="62" t="inlineStr">
        <is>
          <t>07.10.2026</t>
        </is>
      </c>
      <c r="C77" s="44" t="inlineStr">
        <is>
          <t>Хоз. инвентарь / Оснащение</t>
        </is>
      </c>
      <c r="D77" s="44" t="inlineStr">
        <is>
          <t>Зарядка для колонки Xiaomi (оснащение объекта)</t>
        </is>
      </c>
      <c r="E77" s="45" t="n">
        <v>550</v>
      </c>
      <c r="F77" s="46" t="n">
        <v>550</v>
      </c>
      <c r="G77" s="47">
        <f>E77-F77</f>
        <v/>
      </c>
      <c r="H77" s="63">
        <f>IF(E77&gt;0;G77/E77;0)</f>
        <v/>
      </c>
      <c r="I77" s="44" t="inlineStr">
        <is>
          <t>Магазин электроники</t>
        </is>
      </c>
      <c r="J77" s="44" t="inlineStr">
        <is>
          <t>Кабель/ЗУ для строительной портативной колонки мастеров</t>
        </is>
      </c>
    </row>
    <row r="78" ht="20" customHeight="1">
      <c r="A78" s="64" t="n">
        <v>74</v>
      </c>
      <c r="B78" s="64" t="inlineStr">
        <is>
          <t>08.10.2026</t>
        </is>
      </c>
      <c r="C78" s="49" t="inlineStr">
        <is>
          <t>Чистовая отделка / Работы</t>
        </is>
      </c>
      <c r="D78" s="49" t="inlineStr">
        <is>
          <t>Работы плиточника: укладка плитки в санузле, фартук на кухне, фартук ванной из плитки, лючки на магнитах, отверстия под розетки</t>
        </is>
      </c>
      <c r="E78" s="50" t="n">
        <v>86000</v>
      </c>
      <c r="F78" s="51" t="n">
        <v>86000</v>
      </c>
      <c r="G78" s="47">
        <f>E78-F78</f>
        <v/>
      </c>
      <c r="H78" s="63">
        <f>IFERROR(G78/E78, 0)</f>
        <v/>
      </c>
      <c r="I78" s="49" t="inlineStr">
        <is>
          <t>Плиточник (мастер)</t>
        </is>
      </c>
      <c r="J78" s="49" t="inlineStr">
        <is>
          <t>Работы плиточника: санузел + фартук на кухне + фартук ванной из плитки + лючки на магнитах + отверстия под розетки. Согласованная оплата 86 000 ₽</t>
        </is>
      </c>
      <c r="K78" s="140" t="n"/>
      <c r="L78" s="140" t="n"/>
      <c r="M78" s="140" t="n"/>
      <c r="N78" s="140" t="n"/>
    </row>
    <row r="79" ht="20" customHeight="1">
      <c r="A79" s="62" t="n">
        <v>75</v>
      </c>
      <c r="B79" s="62" t="inlineStr">
        <is>
          <t>08.10.2026</t>
        </is>
      </c>
      <c r="C79" s="44" t="inlineStr">
        <is>
          <t>Сантехника / Материалы</t>
        </is>
      </c>
      <c r="D79" s="44" t="inlineStr">
        <is>
          <t>Фиттинги для труб «Американка» на трубы ПП на полотенцесушитель</t>
        </is>
      </c>
      <c r="E79" s="45" t="n">
        <v>1600</v>
      </c>
      <c r="F79" s="46" t="n">
        <v>1600</v>
      </c>
      <c r="G79" s="47">
        <f>E79-F79</f>
        <v/>
      </c>
      <c r="H79" s="63">
        <f>IFERROR(G79/E79, 0)</f>
        <v/>
      </c>
      <c r="I79" s="44" t="inlineStr">
        <is>
          <t>Сантехмаркет / Хозмаг</t>
        </is>
      </c>
      <c r="J79" s="44" t="inlineStr">
        <is>
          <t>Фиттинги («американки») для подключения полотенцесушителя на ПП-трубы</t>
        </is>
      </c>
    </row>
    <row r="80" ht="20" customHeight="1">
      <c r="A80" s="64" t="n">
        <v>76</v>
      </c>
      <c r="B80" s="64" t="inlineStr">
        <is>
          <t>08.10.2026</t>
        </is>
      </c>
      <c r="C80" s="49" t="inlineStr">
        <is>
          <t>Сантехника / Материалы</t>
        </is>
      </c>
      <c r="D80" s="49" t="inlineStr">
        <is>
          <t>Зажим для стекла (оснащение санузла)</t>
        </is>
      </c>
      <c r="E80" s="50" t="n">
        <v>800</v>
      </c>
      <c r="F80" s="51" t="n">
        <v>800</v>
      </c>
      <c r="G80" s="47">
        <f>E80-F80</f>
        <v/>
      </c>
      <c r="H80" s="63">
        <f>IFERROR(G80/E80, 0)</f>
        <v/>
      </c>
      <c r="I80" s="49" t="inlineStr">
        <is>
          <t>Хозмаг / Сантехмаркет</t>
        </is>
      </c>
      <c r="J80" s="49" t="inlineStr">
        <is>
          <t>Зажим для стекла (крепёж стеклянного экрана/полки в санузле)</t>
        </is>
      </c>
    </row>
    <row r="81" ht="20" customHeight="1">
      <c r="A81" s="62" t="n">
        <v>77</v>
      </c>
      <c r="B81" s="62" t="inlineStr">
        <is>
          <t>04.10.2026</t>
        </is>
      </c>
      <c r="C81" s="44" t="inlineStr">
        <is>
          <t>Хоз. инвентарь / Оснащение</t>
        </is>
      </c>
      <c r="D81" s="44" t="inlineStr">
        <is>
          <t>Вертикальный пылесос Timberk T-VCH-52 ДР (для финального клининга/стейджинга)</t>
        </is>
      </c>
      <c r="E81" s="45" t="n">
        <v>3200</v>
      </c>
      <c r="F81" s="46" t="n">
        <v>3200</v>
      </c>
      <c r="G81" s="47">
        <f>E81-F81</f>
        <v/>
      </c>
      <c r="H81" s="63">
        <f>IFERROR(G81/E81, 0)</f>
        <v/>
      </c>
      <c r="I81" s="44" t="inlineStr">
        <is>
          <t>Техника Даром (ИП Панин И.П., Тула)</t>
        </is>
      </c>
      <c r="J81" s="44" t="inlineStr">
        <is>
          <t>Кассовый чек от 04.10.2026, сохранён в Смета_и_чеки (Чек_ТехникаДаром_Пылесос_Timberk_08.10.2026.jpg). Верхний пылесос для финальной уборки объекта.</t>
        </is>
      </c>
    </row>
    <row r="82" ht="20" customHeight="1">
      <c r="A82" s="64" t="n">
        <v>78</v>
      </c>
      <c r="B82" s="64" t="inlineStr">
        <is>
          <t>08.10.2026</t>
        </is>
      </c>
      <c r="C82" s="49" t="inlineStr">
        <is>
          <t>Логистика и доставка</t>
        </is>
      </c>
      <c r="D82" s="49" t="inlineStr">
        <is>
          <t>Такси (оперативная поездка по объекту)</t>
        </is>
      </c>
      <c r="E82" s="50" t="n">
        <v>700</v>
      </c>
      <c r="F82" s="51" t="n">
        <v>700</v>
      </c>
      <c r="G82" s="47">
        <f>E82-F82</f>
        <v/>
      </c>
      <c r="H82" s="63">
        <f>IFERROR(G82/E82, 0)</f>
        <v/>
      </c>
      <c r="I82" s="49" t="inlineStr">
        <is>
          <t>Такси</t>
        </is>
      </c>
      <c r="J82" s="49" t="inlineStr">
        <is>
          <t>Такси (оперативная поездка по объекту), чек не сохранён.</t>
        </is>
      </c>
      <c r="K82" s="140" t="n"/>
      <c r="L82" s="140" t="n"/>
      <c r="M82" s="140" t="n"/>
      <c r="N82" s="140" t="n"/>
    </row>
    <row r="83" ht="24" customHeight="1">
      <c r="A83" s="94" t="n"/>
      <c r="B83" s="94" t="n"/>
      <c r="C83" s="54" t="n"/>
      <c r="D83" s="65" t="inlineStr">
        <is>
          <t>ИТОГО РАСХОДОВ:</t>
        </is>
      </c>
      <c r="E83" s="55">
        <f>SUM(E5:E82)</f>
        <v/>
      </c>
      <c r="F83" s="55">
        <f>SUM(F5:F82)</f>
        <v/>
      </c>
      <c r="G83" s="55">
        <f>SUM(G5:G82)</f>
        <v/>
      </c>
      <c r="H83" s="104">
        <f>IFERROR(G83/E83, 0)</f>
        <v/>
      </c>
      <c r="I83" s="54" t="n"/>
      <c r="J83" s="54" t="n"/>
      <c r="K83" s="140" t="n"/>
      <c r="L83" s="140" t="n"/>
      <c r="M83" s="140" t="n"/>
      <c r="N83" s="140" t="n"/>
    </row>
    <row r="84">
      <c r="A84" s="140" t="n"/>
      <c r="B84" s="140" t="n"/>
      <c r="C84" s="140" t="n"/>
      <c r="D84" s="140" t="n"/>
      <c r="E84" s="140" t="n"/>
      <c r="F84" s="140" t="n"/>
      <c r="G84" s="140" t="n"/>
      <c r="H84" s="140" t="n"/>
      <c r="I84" s="140" t="n"/>
      <c r="J84" s="140" t="n"/>
      <c r="K84" s="140" t="n"/>
      <c r="L84" s="140" t="n"/>
      <c r="M84" s="140" t="n"/>
      <c r="N84" s="140" t="n"/>
    </row>
    <row r="85">
      <c r="A85" s="140" t="n"/>
      <c r="B85" s="140" t="n"/>
      <c r="C85" s="140" t="n"/>
      <c r="D85" s="140" t="n"/>
      <c r="E85" s="140" t="n"/>
      <c r="F85" s="140" t="n"/>
      <c r="G85" s="140" t="n"/>
      <c r="H85" s="140" t="n"/>
      <c r="I85" s="140" t="n"/>
      <c r="J85" s="140" t="n"/>
      <c r="K85" s="140" t="n"/>
      <c r="L85" s="140" t="n"/>
      <c r="M85" s="140" t="n"/>
      <c r="N85" s="140" t="n"/>
    </row>
    <row r="86">
      <c r="A86" s="140" t="n"/>
      <c r="B86" s="140" t="n"/>
      <c r="C86" s="140" t="n"/>
      <c r="D86" s="140" t="n"/>
      <c r="E86" s="140" t="n"/>
      <c r="F86" s="140" t="n"/>
      <c r="G86" s="140" t="n"/>
      <c r="H86" s="140" t="n"/>
      <c r="I86" s="140" t="n"/>
      <c r="J86" s="140" t="n"/>
      <c r="K86" s="140" t="n"/>
      <c r="L86" s="140" t="n"/>
      <c r="M86" s="140" t="n"/>
      <c r="N86" s="140" t="n"/>
    </row>
    <row r="87">
      <c r="A87" s="140" t="n"/>
      <c r="B87" s="140" t="n"/>
      <c r="C87" s="140" t="n"/>
      <c r="D87" s="140" t="n"/>
      <c r="E87" s="140" t="n"/>
      <c r="F87" s="140" t="n"/>
      <c r="G87" s="140" t="n"/>
      <c r="H87" s="140" t="n"/>
      <c r="I87" s="140" t="n"/>
      <c r="J87" s="140" t="n"/>
      <c r="K87" s="140" t="n"/>
      <c r="L87" s="140" t="n"/>
      <c r="M87" s="140" t="n"/>
      <c r="N87" s="140" t="n"/>
    </row>
    <row r="88">
      <c r="A88" s="140" t="n"/>
      <c r="B88" s="140" t="n"/>
      <c r="C88" s="140" t="n"/>
      <c r="D88" s="140" t="n"/>
      <c r="E88" s="140" t="n"/>
      <c r="F88" s="140" t="n"/>
      <c r="G88" s="140" t="n"/>
      <c r="H88" s="140" t="n"/>
      <c r="I88" s="140" t="n"/>
      <c r="J88" s="140" t="n"/>
      <c r="K88" s="140" t="n"/>
      <c r="L88" s="140" t="n"/>
      <c r="M88" s="140" t="n"/>
      <c r="N88" s="140" t="n"/>
    </row>
    <row r="89">
      <c r="A89" s="140" t="n"/>
      <c r="B89" s="140" t="n"/>
      <c r="C89" s="140" t="n"/>
      <c r="D89" s="140" t="n"/>
      <c r="E89" s="140" t="n"/>
      <c r="F89" s="140" t="n"/>
      <c r="G89" s="140" t="n"/>
      <c r="H89" s="140" t="n"/>
      <c r="I89" s="140" t="n"/>
      <c r="J89" s="140" t="n"/>
      <c r="K89" s="140" t="n"/>
      <c r="L89" s="140" t="n"/>
      <c r="M89" s="140" t="n"/>
      <c r="N89" s="140" t="n"/>
    </row>
    <row r="90">
      <c r="A90" s="140" t="n"/>
      <c r="B90" s="140" t="n"/>
      <c r="C90" s="140" t="n"/>
      <c r="D90" s="140" t="n"/>
      <c r="E90" s="140" t="n"/>
      <c r="F90" s="140" t="n"/>
      <c r="G90" s="140" t="n"/>
      <c r="H90" s="140" t="n"/>
      <c r="I90" s="140" t="n"/>
      <c r="J90" s="140" t="n"/>
      <c r="K90" s="140" t="n"/>
      <c r="L90" s="140" t="n"/>
      <c r="M90" s="140" t="n"/>
      <c r="N90" s="140" t="n"/>
    </row>
    <row r="91">
      <c r="A91" s="140" t="n"/>
      <c r="B91" s="140" t="n"/>
      <c r="C91" s="140" t="n"/>
      <c r="D91" s="140" t="n"/>
      <c r="E91" s="140" t="n"/>
      <c r="F91" s="140" t="n"/>
      <c r="G91" s="140" t="n"/>
      <c r="H91" s="140" t="n"/>
      <c r="I91" s="140" t="n"/>
      <c r="J91" s="140" t="n"/>
      <c r="K91" s="140" t="n"/>
      <c r="L91" s="140" t="n"/>
      <c r="M91" s="140" t="n"/>
      <c r="N91" s="140" t="n"/>
    </row>
    <row r="92">
      <c r="A92" s="140" t="n"/>
      <c r="B92" s="140" t="n"/>
      <c r="C92" s="140" t="n"/>
      <c r="D92" s="140" t="n"/>
      <c r="E92" s="140" t="n"/>
      <c r="F92" s="140" t="n"/>
      <c r="G92" s="140" t="n"/>
      <c r="H92" s="140" t="n"/>
      <c r="I92" s="140" t="n"/>
      <c r="J92" s="140" t="n"/>
      <c r="K92" s="140" t="n"/>
      <c r="L92" s="140" t="n"/>
      <c r="M92" s="140" t="n"/>
      <c r="N92" s="140" t="n"/>
    </row>
    <row r="93">
      <c r="A93" s="140" t="n"/>
      <c r="B93" s="140" t="n"/>
      <c r="C93" s="140" t="n"/>
      <c r="D93" s="140" t="n"/>
      <c r="E93" s="140" t="n"/>
      <c r="F93" s="140" t="n"/>
      <c r="G93" s="140" t="n"/>
      <c r="H93" s="140" t="n"/>
      <c r="I93" s="140" t="n"/>
      <c r="J93" s="140" t="n"/>
      <c r="K93" s="140" t="n"/>
      <c r="L93" s="140" t="n"/>
      <c r="M93" s="140" t="n"/>
      <c r="N93" s="140" t="n"/>
    </row>
    <row r="94">
      <c r="A94" s="140" t="n"/>
      <c r="B94" s="140" t="n"/>
      <c r="C94" s="140" t="n"/>
      <c r="D94" s="140" t="n"/>
      <c r="E94" s="140" t="n"/>
      <c r="F94" s="140" t="n"/>
      <c r="G94" s="140" t="n"/>
      <c r="H94" s="140" t="n"/>
      <c r="I94" s="140" t="n"/>
      <c r="J94" s="140" t="n"/>
      <c r="K94" s="140" t="n"/>
      <c r="L94" s="140" t="n"/>
      <c r="M94" s="140" t="n"/>
      <c r="N94" s="140" t="n"/>
    </row>
    <row r="95">
      <c r="A95" s="140" t="n"/>
      <c r="B95" s="140" t="n"/>
      <c r="C95" s="140" t="n"/>
      <c r="D95" s="140" t="n"/>
      <c r="E95" s="140" t="n"/>
      <c r="F95" s="140" t="n"/>
      <c r="G95" s="140" t="n"/>
      <c r="H95" s="140" t="n"/>
      <c r="I95" s="140" t="n"/>
      <c r="J95" s="140" t="n"/>
      <c r="K95" s="140" t="n"/>
      <c r="L95" s="140" t="n"/>
      <c r="M95" s="140" t="n"/>
      <c r="N95" s="140" t="n"/>
    </row>
    <row r="96">
      <c r="A96" s="140" t="n"/>
      <c r="B96" s="140" t="n"/>
      <c r="C96" s="140" t="n"/>
      <c r="D96" s="140" t="n"/>
      <c r="E96" s="140" t="n"/>
      <c r="F96" s="140" t="n"/>
      <c r="G96" s="140" t="n"/>
      <c r="H96" s="140" t="n"/>
      <c r="I96" s="140" t="n"/>
      <c r="J96" s="140" t="n"/>
      <c r="K96" s="140" t="n"/>
      <c r="L96" s="140" t="n"/>
      <c r="M96" s="140" t="n"/>
      <c r="N96" s="140" t="n"/>
    </row>
    <row r="97">
      <c r="A97" s="140" t="n"/>
      <c r="B97" s="140" t="n"/>
      <c r="C97" s="140" t="n"/>
      <c r="D97" s="140" t="n"/>
      <c r="E97" s="140" t="n"/>
      <c r="F97" s="140" t="n"/>
      <c r="G97" s="140" t="n"/>
      <c r="H97" s="140" t="n"/>
      <c r="I97" s="140" t="n"/>
      <c r="J97" s="140" t="n"/>
      <c r="K97" s="140" t="n"/>
      <c r="L97" s="140" t="n"/>
      <c r="M97" s="140" t="n"/>
      <c r="N97" s="140" t="n"/>
    </row>
    <row r="98">
      <c r="A98" s="140" t="n"/>
      <c r="B98" s="140" t="n"/>
      <c r="C98" s="140" t="n"/>
      <c r="D98" s="140" t="n"/>
      <c r="E98" s="140" t="n"/>
      <c r="F98" s="140" t="n"/>
      <c r="G98" s="140" t="n"/>
      <c r="H98" s="140" t="n"/>
      <c r="I98" s="140" t="n"/>
      <c r="J98" s="140" t="n"/>
      <c r="K98" s="140" t="n"/>
      <c r="L98" s="140" t="n"/>
      <c r="M98" s="140" t="n"/>
      <c r="N98" s="140" t="n"/>
    </row>
    <row r="99">
      <c r="A99" s="140" t="n"/>
      <c r="B99" s="140" t="n"/>
      <c r="C99" s="140" t="n"/>
      <c r="D99" s="140" t="n"/>
      <c r="E99" s="140" t="n"/>
      <c r="F99" s="140" t="n"/>
      <c r="G99" s="140" t="n"/>
      <c r="H99" s="140" t="n"/>
      <c r="I99" s="140" t="n"/>
      <c r="J99" s="140" t="n"/>
      <c r="K99" s="140" t="n"/>
      <c r="L99" s="140" t="n"/>
      <c r="M99" s="140" t="n"/>
      <c r="N99" s="140" t="n"/>
    </row>
    <row r="100">
      <c r="A100" s="140" t="n"/>
      <c r="B100" s="140" t="n"/>
      <c r="C100" s="140" t="n"/>
      <c r="D100" s="140" t="n"/>
      <c r="E100" s="140" t="n"/>
      <c r="F100" s="140" t="n"/>
      <c r="G100" s="140" t="n"/>
      <c r="H100" s="140" t="n"/>
      <c r="I100" s="140" t="n"/>
      <c r="J100" s="140" t="n"/>
      <c r="K100" s="140" t="n"/>
      <c r="L100" s="140" t="n"/>
      <c r="M100" s="140" t="n"/>
      <c r="N100" s="140" t="n"/>
    </row>
    <row r="101">
      <c r="A101" s="140" t="n"/>
      <c r="B101" s="140" t="n"/>
      <c r="C101" s="140" t="n"/>
      <c r="D101" s="140" t="n"/>
      <c r="E101" s="140" t="n"/>
      <c r="F101" s="140" t="n"/>
      <c r="G101" s="140" t="n"/>
      <c r="H101" s="140" t="n"/>
      <c r="I101" s="140" t="n"/>
      <c r="J101" s="140" t="n"/>
      <c r="K101" s="140" t="n"/>
      <c r="L101" s="140" t="n"/>
      <c r="M101" s="140" t="n"/>
      <c r="N101" s="140" t="n"/>
    </row>
    <row r="102">
      <c r="A102" s="140" t="n"/>
      <c r="B102" s="140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</row>
    <row r="103">
      <c r="A103" s="140" t="n"/>
      <c r="B103" s="140" t="n"/>
      <c r="C103" s="140" t="n"/>
      <c r="D103" s="140" t="n"/>
      <c r="E103" s="140" t="n"/>
      <c r="F103" s="140" t="n"/>
      <c r="G103" s="140" t="n"/>
      <c r="H103" s="140" t="n"/>
      <c r="I103" s="140" t="n"/>
      <c r="J103" s="140" t="n"/>
    </row>
    <row r="104">
      <c r="A104" s="140" t="n"/>
      <c r="B104" s="140" t="n"/>
      <c r="C104" s="140" t="n"/>
      <c r="D104" s="140" t="n"/>
      <c r="E104" s="140" t="n"/>
      <c r="F104" s="140" t="n"/>
      <c r="G104" s="140" t="n"/>
      <c r="H104" s="140" t="n"/>
      <c r="I104" s="140" t="n"/>
      <c r="J104" s="140" t="n"/>
    </row>
    <row r="105">
      <c r="A105" s="140" t="n"/>
      <c r="B105" s="140" t="n"/>
      <c r="C105" s="140" t="n"/>
      <c r="D105" s="140" t="n"/>
      <c r="E105" s="140" t="n"/>
      <c r="F105" s="140" t="n"/>
      <c r="G105" s="140" t="n"/>
      <c r="H105" s="140" t="n"/>
      <c r="I105" s="140" t="n"/>
      <c r="J105" s="140" t="n"/>
    </row>
    <row r="106">
      <c r="A106" s="140" t="n"/>
      <c r="B106" s="140" t="n"/>
      <c r="C106" s="140" t="n"/>
      <c r="D106" s="140" t="n"/>
      <c r="E106" s="140" t="n"/>
      <c r="F106" s="140" t="n"/>
      <c r="G106" s="140" t="n"/>
      <c r="H106" s="140" t="n"/>
      <c r="I106" s="140" t="n"/>
      <c r="J106" s="140" t="n"/>
    </row>
    <row r="107">
      <c r="A107" s="140" t="n"/>
      <c r="B107" s="140" t="n"/>
      <c r="C107" s="140" t="n"/>
      <c r="D107" s="140" t="n"/>
      <c r="E107" s="140" t="n"/>
      <c r="F107" s="140" t="n"/>
      <c r="G107" s="140" t="n"/>
      <c r="H107" s="140" t="n"/>
      <c r="I107" s="140" t="n"/>
      <c r="J107" s="140" t="n"/>
    </row>
    <row r="108">
      <c r="A108" s="140" t="n"/>
      <c r="B108" s="140" t="n"/>
      <c r="C108" s="140" t="n"/>
      <c r="D108" s="140" t="n"/>
      <c r="E108" s="140" t="n"/>
      <c r="F108" s="140" t="n"/>
      <c r="G108" s="140" t="n"/>
      <c r="H108" s="140" t="n"/>
      <c r="I108" s="140" t="n"/>
      <c r="J108" s="140" t="n"/>
    </row>
    <row r="109">
      <c r="A109" s="140" t="n"/>
      <c r="B109" s="140" t="n"/>
      <c r="C109" s="140" t="n"/>
      <c r="D109" s="140" t="n"/>
      <c r="E109" s="140" t="n"/>
      <c r="F109" s="140" t="n"/>
      <c r="G109" s="140" t="n"/>
      <c r="H109" s="140" t="n"/>
      <c r="I109" s="140" t="n"/>
      <c r="J109" s="1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H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8" customWidth="1" min="4" max="4"/>
    <col width="20" customWidth="1" min="5" max="5"/>
    <col width="20" customWidth="1" min="6" max="6"/>
    <col width="20" customWidth="1" min="7" max="7"/>
    <col width="44" customWidth="1" min="8" max="8"/>
  </cols>
  <sheetData>
    <row r="1" ht="24" customHeight="1">
      <c r="A1" s="38" t="inlineStr">
        <is>
          <t>СМЕТНЫЙ ПЛАН: РЫНОЧНАЯ СТОИМОСТЬ VS ЦЕЛЕВОЙ БЮДЖЕТ</t>
        </is>
      </c>
    </row>
    <row r="2" ht="18" customHeight="1">
      <c r="A2" s="39" t="inlineStr">
        <is>
          <t>Сравнение среднерыночных цен Тулы с нашей целевой стоимостью выполнения</t>
        </is>
      </c>
    </row>
    <row r="4" ht="24" customHeight="1">
      <c r="A4" s="43" t="inlineStr">
        <is>
          <t>№</t>
        </is>
      </c>
      <c r="B4" s="41" t="inlineStr">
        <is>
          <t>Этап / Раздел работ</t>
        </is>
      </c>
      <c r="C4" s="43" t="inlineStr">
        <is>
          <t>Объём / Ед.</t>
        </is>
      </c>
      <c r="D4" s="42" t="inlineStr">
        <is>
          <t>Рынок Тула (₽)</t>
        </is>
      </c>
      <c r="E4" s="42" t="inlineStr">
        <is>
          <t>Наш план / Цель (₽)</t>
        </is>
      </c>
      <c r="F4" s="42" t="inlineStr">
        <is>
          <t>Плановая выгода (₽)</t>
        </is>
      </c>
      <c r="G4" s="43" t="inlineStr">
        <is>
          <t>Статус выполнения</t>
        </is>
      </c>
      <c r="H4" s="41" t="inlineStr">
        <is>
          <t>Способ оптимизации ниже рынка</t>
        </is>
      </c>
    </row>
    <row r="5" ht="20" customHeight="1">
      <c r="A5" s="62" t="n">
        <v>1</v>
      </c>
      <c r="B5" s="44" t="inlineStr">
        <is>
          <t>1. Демонтаж, зачистка стен, вывоз мусора (8м³)</t>
        </is>
      </c>
      <c r="C5" s="62" t="inlineStr">
        <is>
          <t>43.2 м²</t>
        </is>
      </c>
      <c r="D5" s="45" t="n">
        <v>65000</v>
      </c>
      <c r="E5" s="46" t="n">
        <v>45000</v>
      </c>
      <c r="F5" s="47">
        <f>D5-E5</f>
        <v/>
      </c>
      <c r="G5" s="62" t="inlineStr">
        <is>
          <t>В работе</t>
        </is>
      </c>
      <c r="H5" s="44" t="inlineStr">
        <is>
          <t>Своими силами / прямые разнорабочие</t>
        </is>
      </c>
    </row>
    <row r="6" ht="20" customHeight="1">
      <c r="A6" s="64" t="n">
        <v>2</v>
      </c>
      <c r="B6" s="49" t="inlineStr">
        <is>
          <t>2. Входная дверь металлическая с МДФ + монтаж</t>
        </is>
      </c>
      <c r="C6" s="64" t="inlineStr">
        <is>
          <t>1 шт</t>
        </is>
      </c>
      <c r="D6" s="50" t="n">
        <v>35000</v>
      </c>
      <c r="E6" s="51" t="n">
        <v>25000</v>
      </c>
      <c r="F6" s="47">
        <f>D6-E6</f>
        <v/>
      </c>
      <c r="G6" s="64" t="inlineStr">
        <is>
          <t>План</t>
        </is>
      </c>
      <c r="H6" s="49" t="inlineStr">
        <is>
          <t>Оптовый поставщик в Туле</t>
        </is>
      </c>
    </row>
    <row r="7" ht="20" customHeight="1">
      <c r="A7" s="62" t="n">
        <v>3</v>
      </c>
      <c r="B7" s="44" t="inlineStr">
        <is>
          <t>3. Электрика ГОСТ ВВГнг-LS (32 точки + щит 18м)</t>
        </is>
      </c>
      <c r="C7" s="62" t="inlineStr">
        <is>
          <t>комплекс</t>
        </is>
      </c>
      <c r="D7" s="45" t="n">
        <v>100000</v>
      </c>
      <c r="E7" s="46" t="n">
        <v>75000</v>
      </c>
      <c r="F7" s="47">
        <f>D7-E7</f>
        <v/>
      </c>
      <c r="G7" s="62" t="inlineStr">
        <is>
          <t>ТЗ готово</t>
        </is>
      </c>
      <c r="H7" s="44" t="inlineStr">
        <is>
          <t>Трассировка по потолку без лишних штроб</t>
        </is>
      </c>
    </row>
    <row r="8" ht="20" customHeight="1">
      <c r="A8" s="64" t="n">
        <v>4</v>
      </c>
      <c r="B8" s="49" t="inlineStr">
        <is>
          <t>4. Сантехника (разводка PPR, инсталляция, ванна 150)</t>
        </is>
      </c>
      <c r="C8" s="64" t="inlineStr">
        <is>
          <t>комплекс</t>
        </is>
      </c>
      <c r="D8" s="50" t="n">
        <v>120000</v>
      </c>
      <c r="E8" s="51" t="n">
        <v>90000</v>
      </c>
      <c r="F8" s="47">
        <f>D8-E8</f>
        <v/>
      </c>
      <c r="G8" s="64" t="inlineStr">
        <is>
          <t>План</t>
        </is>
      </c>
      <c r="H8" s="49" t="inlineStr">
        <is>
          <t>Стояк уже пластик; прямая закупка сантехники</t>
        </is>
      </c>
    </row>
    <row r="9" ht="20" customHeight="1">
      <c r="A9" s="62" t="n">
        <v>5</v>
      </c>
      <c r="B9" s="44" t="inlineStr">
        <is>
          <t>5. Перепланировка гардеробной (зашивка + проём)</t>
        </is>
      </c>
      <c r="C9" s="62" t="inlineStr">
        <is>
          <t>комплекс</t>
        </is>
      </c>
      <c r="D9" s="45" t="n">
        <v>30000</v>
      </c>
      <c r="E9" s="46" t="n">
        <v>18000</v>
      </c>
      <c r="F9" s="47">
        <f>D9-E9</f>
        <v/>
      </c>
      <c r="G9" s="62" t="inlineStr">
        <is>
          <t>План</t>
        </is>
      </c>
      <c r="H9" s="44" t="inlineStr">
        <is>
          <t>ГКЛ по месту без мокрых процессов</t>
        </is>
      </c>
    </row>
    <row r="10" ht="20" customHeight="1">
      <c r="A10" s="64" t="n">
        <v>6</v>
      </c>
      <c r="B10" s="49" t="inlineStr">
        <is>
          <t>6. Черновая отделка (полы саморезы, штукатурка с/у)</t>
        </is>
      </c>
      <c r="C10" s="64" t="inlineStr">
        <is>
          <t>43.2 м²</t>
        </is>
      </c>
      <c r="D10" s="50" t="n">
        <v>95000</v>
      </c>
      <c r="E10" s="51" t="n">
        <v>70000</v>
      </c>
      <c r="F10" s="47">
        <f>D10-E10</f>
        <v/>
      </c>
      <c r="G10" s="64" t="inlineStr">
        <is>
          <t>План</t>
        </is>
      </c>
      <c r="H10" s="49" t="inlineStr">
        <is>
          <t>Без заливки стяжки (протяжка лаг)</t>
        </is>
      </c>
    </row>
    <row r="11" ht="20" customHeight="1">
      <c r="A11" s="62" t="n">
        <v>7</v>
      </c>
      <c r="B11" s="44" t="inlineStr">
        <is>
          <t>7. Чистовая отделка (обои, ламинат 33кл, плинтус)</t>
        </is>
      </c>
      <c r="C11" s="62" t="inlineStr">
        <is>
          <t>43.2 м²</t>
        </is>
      </c>
      <c r="D11" s="45" t="n">
        <v>140000</v>
      </c>
      <c r="E11" s="46" t="n">
        <v>110000</v>
      </c>
      <c r="F11" s="47">
        <f>D11-E11</f>
        <v/>
      </c>
      <c r="G11" s="62" t="inlineStr">
        <is>
          <t>План</t>
        </is>
      </c>
      <c r="H11" s="44" t="inlineStr">
        <is>
          <t>Светлый сканди-стандарт, единый контур</t>
        </is>
      </c>
    </row>
    <row r="12" ht="20" customHeight="1">
      <c r="A12" s="64" t="n">
        <v>8</v>
      </c>
      <c r="B12" s="49" t="inlineStr">
        <is>
          <t>8. Натяжные матовые потолки + споты (вся кв.)</t>
        </is>
      </c>
      <c r="C12" s="64" t="inlineStr">
        <is>
          <t>43.2 м²</t>
        </is>
      </c>
      <c r="D12" s="50" t="n">
        <v>45000</v>
      </c>
      <c r="E12" s="51" t="n">
        <v>35000</v>
      </c>
      <c r="F12" s="47">
        <f>D12-E12</f>
        <v/>
      </c>
      <c r="G12" s="64" t="inlineStr">
        <is>
          <t>План</t>
        </is>
      </c>
      <c r="H12" s="49" t="inlineStr">
        <is>
          <t>Прямой замер от бригады потолочников</t>
        </is>
      </c>
    </row>
    <row r="13" ht="20" customHeight="1">
      <c r="A13" s="62" t="n">
        <v>9</v>
      </c>
      <c r="B13" s="44" t="inlineStr">
        <is>
          <t>9. Межкомнатные двери (3 шт глухие + доборы)</t>
        </is>
      </c>
      <c r="C13" s="62" t="inlineStr">
        <is>
          <t>3 компл</t>
        </is>
      </c>
      <c r="D13" s="45" t="n">
        <v>50000</v>
      </c>
      <c r="E13" s="46" t="n">
        <v>38000</v>
      </c>
      <c r="F13" s="47">
        <f>D13-E13</f>
        <v/>
      </c>
      <c r="G13" s="62" t="inlineStr">
        <is>
          <t>План</t>
        </is>
      </c>
      <c r="H13" s="44" t="inlineStr">
        <is>
          <t>Светлые царговые полотна с магнитными замками</t>
        </is>
      </c>
    </row>
    <row r="14" ht="20" customHeight="1">
      <c r="A14" s="64" t="n">
        <v>10</v>
      </c>
      <c r="B14" s="49" t="inlineStr">
        <is>
          <t>10. Кухонный гарнитур + фартук + мойка/смеситель</t>
        </is>
      </c>
      <c r="C14" s="64" t="inlineStr">
        <is>
          <t>1 компл</t>
        </is>
      </c>
      <c r="D14" s="50" t="n">
        <v>95000</v>
      </c>
      <c r="E14" s="51" t="n">
        <v>75000</v>
      </c>
      <c r="F14" s="47">
        <f>D14-E14</f>
        <v/>
      </c>
      <c r="G14" s="64" t="inlineStr">
        <is>
          <t>План</t>
        </is>
      </c>
      <c r="H14" s="49" t="inlineStr">
        <is>
          <t>Модульная кухня с интеграцией колонки Mora</t>
        </is>
      </c>
    </row>
    <row r="15" ht="20" customHeight="1">
      <c r="A15" s="62" t="n">
        <v>11</v>
      </c>
      <c r="B15" s="44" t="inlineStr">
        <is>
          <t>11. Стейджинг, освещение, декор, клининг</t>
        </is>
      </c>
      <c r="C15" s="62" t="inlineStr">
        <is>
          <t>комплекс</t>
        </is>
      </c>
      <c r="D15" s="45" t="n">
        <v>50000</v>
      </c>
      <c r="E15" s="46" t="n">
        <v>40000</v>
      </c>
      <c r="F15" s="47">
        <f>D15-E15</f>
        <v/>
      </c>
      <c r="G15" s="62" t="inlineStr">
        <is>
          <t>План</t>
        </is>
      </c>
      <c r="H15" s="44" t="inlineStr">
        <is>
          <t>Минималистичный интерьерный декор</t>
        </is>
      </c>
    </row>
    <row r="16" ht="24" customHeight="1">
      <c r="A16" s="94" t="n"/>
      <c r="B16" s="65" t="inlineStr">
        <is>
          <t>ИТОГО СМЕТА РЕМОНТА:</t>
        </is>
      </c>
      <c r="C16" s="94" t="n"/>
      <c r="D16" s="55">
        <f>SUM(D5:D15)</f>
        <v/>
      </c>
      <c r="E16" s="55">
        <f>SUM(E5:E15)</f>
        <v/>
      </c>
      <c r="F16" s="55">
        <f>SUM(F5:F15)</f>
        <v/>
      </c>
      <c r="G16" s="54" t="n"/>
      <c r="H16" s="5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172A"/>
    <outlinePr summaryBelow="1" summaryRight="1"/>
    <pageSetUpPr/>
  </sheetPr>
  <dimension ref="A1:L9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46" customWidth="1" min="4" max="4"/>
    <col width="18" customWidth="1" min="5" max="5"/>
    <col width="9" customWidth="1" min="6" max="6"/>
    <col width="8" customWidth="1" min="7" max="7"/>
    <col width="13" customWidth="1" min="8" max="8"/>
    <col width="15" customWidth="1" min="9" max="9"/>
    <col width="26" customWidth="1" min="10" max="10"/>
    <col width="15" customWidth="1" min="11" max="11"/>
    <col width="46" customWidth="1" min="12" max="12"/>
  </cols>
  <sheetData>
    <row r="1" ht="24" customHeight="1">
      <c r="A1" s="321" t="inlineStr">
        <is>
          <t>ГЕНЕРАЛЬНАЯ МАТРИЦА БЮДЖЕТА И КОМПЛЕКТАЦИИ (630 657,80 ₽)</t>
        </is>
      </c>
      <c r="B1" s="322" t="n"/>
      <c r="C1" s="322" t="n"/>
      <c r="D1" s="322" t="n"/>
      <c r="E1" s="322" t="n"/>
      <c r="F1" s="322" t="n"/>
      <c r="G1" s="322" t="n"/>
      <c r="H1" s="322" t="n"/>
      <c r="I1" s="322" t="n"/>
      <c r="J1" s="322" t="n"/>
      <c r="K1" s="322" t="n"/>
      <c r="L1" s="322" t="n"/>
    </row>
    <row r="2" ht="18" customHeight="1">
      <c r="A2" s="323" t="inlineStr">
        <is>
          <t>Полная структура расходов Фрунзе 17 | Точная сверка с листом «Факт расходов» (1-в-1 до копейки, все 78 позиций)</t>
        </is>
      </c>
      <c r="B2" s="322" t="n"/>
      <c r="C2" s="322" t="n"/>
      <c r="D2" s="322" t="n"/>
      <c r="E2" s="322" t="n"/>
      <c r="F2" s="322" t="n"/>
      <c r="G2" s="322" t="n"/>
      <c r="H2" s="322" t="n"/>
      <c r="I2" s="322" t="n"/>
      <c r="J2" s="322" t="n"/>
      <c r="K2" s="322" t="n"/>
      <c r="L2" s="322" t="n"/>
    </row>
    <row r="3" ht="18" customHeight="1">
      <c r="A3" s="323" t="inlineStr">
        <is>
          <t>💡 Используй значки [-] и [+] для сворачивания блоков (Материалы, Спецпоставщики, Работы, Юр. расходы)</t>
        </is>
      </c>
      <c r="B3" s="322" t="n"/>
      <c r="C3" s="322" t="n"/>
      <c r="D3" s="322" t="n"/>
      <c r="E3" s="322" t="n"/>
      <c r="F3" s="322" t="n"/>
      <c r="G3" s="322" t="n"/>
      <c r="H3" s="322" t="n"/>
      <c r="I3" s="322" t="n"/>
      <c r="J3" s="322" t="n"/>
      <c r="K3" s="322" t="n"/>
      <c r="L3" s="322" t="n"/>
    </row>
    <row r="4" ht="24" customHeight="1">
      <c r="A4" s="324" t="inlineStr">
        <is>
          <t>№ в Факте</t>
        </is>
      </c>
      <c r="B4" s="324" t="inlineStr">
        <is>
          <t>Зона / Помещение</t>
        </is>
      </c>
      <c r="C4" s="324" t="inlineStr">
        <is>
          <t>Категория</t>
        </is>
      </c>
      <c r="D4" s="324" t="inlineStr">
        <is>
          <t>Наименование расхода</t>
        </is>
      </c>
      <c r="E4" s="324" t="inlineStr">
        <is>
          <t>Артикул / Код</t>
        </is>
      </c>
      <c r="F4" s="324" t="inlineStr">
        <is>
          <t>Ед. изм.</t>
        </is>
      </c>
      <c r="G4" s="324" t="inlineStr">
        <is>
          <t>Кол-во</t>
        </is>
      </c>
      <c r="H4" s="324" t="inlineStr">
        <is>
          <t>Цена / ед. (₽)</t>
        </is>
      </c>
      <c r="I4" s="324" t="inlineStr">
        <is>
          <t>Сумма (₽)</t>
        </is>
      </c>
      <c r="J4" s="324" t="inlineStr">
        <is>
          <t>Поставщик / Подрядчик</t>
        </is>
      </c>
      <c r="K4" s="324" t="inlineStr">
        <is>
          <t>Ссылка / Документ</t>
        </is>
      </c>
      <c r="L4" s="324" t="inlineStr">
        <is>
          <t>Примечание / Назначение</t>
        </is>
      </c>
    </row>
    <row r="5" ht="22" customHeight="1">
      <c r="A5" s="322" t="n"/>
      <c r="B5" s="325" t="inlineStr">
        <is>
          <t>🛁 БЛОК 1: СТРОИТЕЛЬНЫЕ И ЧИСТОВЫЕ МАТЕРИАЛЫ «ЛЕМАНА ПРО» (27 ЧЕКОВ)</t>
        </is>
      </c>
      <c r="C5" s="322" t="n"/>
      <c r="D5" s="322" t="n"/>
      <c r="E5" s="322" t="n"/>
      <c r="F5" s="322" t="n"/>
      <c r="G5" s="322" t="n"/>
      <c r="H5" s="322" t="n"/>
      <c r="I5" s="322" t="n"/>
      <c r="J5" s="322" t="n"/>
      <c r="K5" s="322" t="n"/>
      <c r="L5" s="322" t="n"/>
    </row>
    <row r="6" ht="20" customHeight="1">
      <c r="A6" s="64" t="n">
        <v>8</v>
      </c>
      <c r="B6" s="49" t="inlineStr">
        <is>
          <t>Расходники</t>
        </is>
      </c>
      <c r="C6" s="49" t="inlineStr">
        <is>
          <t>Пылесос</t>
        </is>
      </c>
      <c r="D6" s="49" t="inlineStr">
        <is>
          <t>Мешки для пылесоса синт. 12л (5 шт) — Леруа/Лемана</t>
        </is>
      </c>
      <c r="E6" s="49" t="n">
        <v>4607086338088</v>
      </c>
      <c r="F6" s="64" t="inlineStr">
        <is>
          <t>упак.</t>
        </is>
      </c>
      <c r="G6" s="326" t="n">
        <v>1</v>
      </c>
      <c r="H6" s="172" t="n">
        <v>717</v>
      </c>
      <c r="I6" s="172">
        <f>G6*H6</f>
        <v/>
      </c>
      <c r="J6" s="49" t="inlineStr">
        <is>
          <t>ООО Ле Монлид (Лемана ПРО)</t>
        </is>
      </c>
      <c r="K6" s="175">
        <f>HYPERLINK("https://lemanapro.ru/search/?q=мешки+для+пылесоса+12л", "Открыть ↗")</f>
        <v/>
      </c>
      <c r="L6" s="49" t="inlineStr"/>
    </row>
    <row r="7" ht="20" customHeight="1">
      <c r="A7" s="62" t="n">
        <v>9</v>
      </c>
      <c r="B7" s="44" t="inlineStr">
        <is>
          <t>Инструмент</t>
        </is>
      </c>
      <c r="C7" s="44" t="inlineStr">
        <is>
          <t>Демонтаж</t>
        </is>
      </c>
      <c r="D7" s="44" t="inlineStr">
        <is>
          <t>Лом-гвоздодер, мешки 15шт, лента, перчатки 6п, опрыскиватель</t>
        </is>
      </c>
      <c r="E7" s="44" t="n">
        <v>4603333000001</v>
      </c>
      <c r="F7" s="62" t="inlineStr">
        <is>
          <t>компл.</t>
        </is>
      </c>
      <c r="G7" s="327" t="n">
        <v>1</v>
      </c>
      <c r="H7" s="173" t="n">
        <v>1830</v>
      </c>
      <c r="I7" s="173">
        <f>G7*H7</f>
        <v/>
      </c>
      <c r="J7" s="44" t="inlineStr">
        <is>
          <t>ООО Ле Монлид (Лемана ПРО)</t>
        </is>
      </c>
      <c r="K7" s="174">
        <f>HYPERLINK("https://lemanapro.ru/search/?q=лом+гвоздодер", "Открыть ↗")</f>
        <v/>
      </c>
      <c r="L7" s="44" t="inlineStr"/>
    </row>
    <row r="8" ht="20" customHeight="1">
      <c r="A8" s="64" t="n">
        <v>25</v>
      </c>
      <c r="B8" s="49" t="inlineStr">
        <is>
          <t>Черновые стены</t>
        </is>
      </c>
      <c r="C8" s="49" t="inlineStr">
        <is>
          <t>Шпатлевка / Грунт</t>
        </is>
      </c>
      <c r="D8" s="49" t="inlineStr">
        <is>
          <t>Материалы для зачистки и грунтования (шпатлевка 20кг, грунт 10л, СТ99, фильтр Rommer)</t>
        </is>
      </c>
      <c r="E8" s="49" t="n">
        <v>3276006224277</v>
      </c>
      <c r="F8" s="64" t="inlineStr">
        <is>
          <t>компл.</t>
        </is>
      </c>
      <c r="G8" s="326" t="n">
        <v>1</v>
      </c>
      <c r="H8" s="172" t="n">
        <v>4803.6</v>
      </c>
      <c r="I8" s="172">
        <f>G8*H8</f>
        <v/>
      </c>
      <c r="J8" s="49" t="inlineStr">
        <is>
          <t>ООО Ле Монлид (Лемана ПРО)</t>
        </is>
      </c>
      <c r="K8" s="175">
        <f>HYPERLINK("https://lemanapro.ru/search/?q=грунт+axton+10л", "Открыть ↗")</f>
        <v/>
      </c>
      <c r="L8" s="49" t="inlineStr"/>
    </row>
    <row r="9" ht="20" customHeight="1">
      <c r="A9" s="62" t="n">
        <v>26</v>
      </c>
      <c r="B9" s="44" t="inlineStr">
        <is>
          <t>Инструмент</t>
        </is>
      </c>
      <c r="C9" s="44" t="inlineStr">
        <is>
          <t>Ёмкости</t>
        </is>
      </c>
      <c r="D9" s="44" t="inlineStr">
        <is>
          <t>Ведро строительное круглое 20 л (2 шт.)</t>
        </is>
      </c>
      <c r="E9" s="44" t="n">
        <v>4610008470475</v>
      </c>
      <c r="F9" s="62" t="inlineStr">
        <is>
          <t>шт.</t>
        </is>
      </c>
      <c r="G9" s="327" t="n">
        <v>2</v>
      </c>
      <c r="H9" s="173" t="n">
        <v>128</v>
      </c>
      <c r="I9" s="173">
        <f>G9*H9</f>
        <v/>
      </c>
      <c r="J9" s="44" t="inlineStr">
        <is>
          <t>ООО Ле Монлид (Лемана ПРО)</t>
        </is>
      </c>
      <c r="K9" s="174">
        <f>HYPERLINK("https://lemanapro.ru/search/?q=ведро+строительное+20л", "Открыть ↗")</f>
        <v/>
      </c>
      <c r="L9" s="44" t="inlineStr"/>
    </row>
    <row r="10" ht="20" customHeight="1">
      <c r="A10" s="64" t="n">
        <v>28</v>
      </c>
      <c r="B10" s="49" t="inlineStr">
        <is>
          <t>Черновые стены</t>
        </is>
      </c>
      <c r="C10" s="49" t="inlineStr">
        <is>
          <t>Шпатлевка / Шпатели</t>
        </is>
      </c>
      <c r="D10" s="49" t="inlineStr">
        <is>
          <t>Материалы для подготовки стен (грунт Axton 10л 4шт, шпатлевка 20кг 2шт, шпатели, мешки)</t>
        </is>
      </c>
      <c r="E10" s="49" t="n">
        <v>4601745004252</v>
      </c>
      <c r="F10" s="64" t="inlineStr">
        <is>
          <t>компл.</t>
        </is>
      </c>
      <c r="G10" s="326" t="n">
        <v>1</v>
      </c>
      <c r="H10" s="172" t="n">
        <v>3308</v>
      </c>
      <c r="I10" s="172">
        <f>G10*H10</f>
        <v/>
      </c>
      <c r="J10" s="49" t="inlineStr">
        <is>
          <t>ООО Ле Монлид (Лемана ПРО)</t>
        </is>
      </c>
      <c r="K10" s="175">
        <f>HYPERLINK("https://lemanapro.ru/search/?q=шпатлевка+старатели+20кг", "Открыть ↗")</f>
        <v/>
      </c>
      <c r="L10" s="49" t="inlineStr"/>
    </row>
    <row r="11" ht="20" customHeight="1">
      <c r="A11" s="62" t="n">
        <v>30</v>
      </c>
      <c r="B11" s="44" t="inlineStr">
        <is>
          <t>Черновые стены</t>
        </is>
      </c>
      <c r="C11" s="44" t="inlineStr">
        <is>
          <t>Штукатурка / Бетонконтакт</t>
        </is>
      </c>
      <c r="D11" s="44" t="inlineStr">
        <is>
          <t>Материалы штукатурки и шпаклёвки (Бетонконтакт 12кг 3шт, финиш 5шт, штукатурка 3шт, правило, углы)</t>
        </is>
      </c>
      <c r="E11" s="44" t="n">
        <v>4607017518816</v>
      </c>
      <c r="F11" s="62" t="inlineStr">
        <is>
          <t>компл.</t>
        </is>
      </c>
      <c r="G11" s="327" t="n">
        <v>1</v>
      </c>
      <c r="H11" s="173" t="n">
        <v>8162</v>
      </c>
      <c r="I11" s="173">
        <f>G11*H11</f>
        <v/>
      </c>
      <c r="J11" s="44" t="inlineStr">
        <is>
          <t>ООО Ле Монлид (Лемана ПРО)</t>
        </is>
      </c>
      <c r="K11" s="174">
        <f>HYPERLINK("https://lemanapro.ru/search/?q=бетонконтакт+axton+12кг", "Открыть ↗")</f>
        <v/>
      </c>
      <c r="L11" s="44" t="inlineStr"/>
    </row>
    <row r="12" ht="20" customHeight="1">
      <c r="A12" s="64" t="n">
        <v>32</v>
      </c>
      <c r="B12" s="49" t="inlineStr">
        <is>
          <t>Черновые стены</t>
        </is>
      </c>
      <c r="C12" s="49" t="inlineStr">
        <is>
          <t>Шпаклёвка</t>
        </is>
      </c>
      <c r="D12" s="49" t="inlineStr">
        <is>
          <t>Материалы штукатурки и шпаклёвки (шпатлевка финиш 20кг, штукатурка 30кг 2шт, перчатки)</t>
        </is>
      </c>
      <c r="E12" s="49" t="n">
        <v>4601745002814</v>
      </c>
      <c r="F12" s="64" t="inlineStr">
        <is>
          <t>компл.</t>
        </is>
      </c>
      <c r="G12" s="326" t="n">
        <v>1</v>
      </c>
      <c r="H12" s="172" t="n">
        <v>1594</v>
      </c>
      <c r="I12" s="172">
        <f>G12*H12</f>
        <v/>
      </c>
      <c r="J12" s="49" t="inlineStr">
        <is>
          <t>ООО Ле Монлид (Лемана ПРО)</t>
        </is>
      </c>
      <c r="K12" s="175">
        <f>HYPERLINK("https://lemanapro.ru/search/?q=шпатлевка+финишная+старатели", "Открыть ↗")</f>
        <v/>
      </c>
      <c r="L12" s="49" t="inlineStr"/>
    </row>
    <row r="13" ht="20" customHeight="1">
      <c r="A13" s="62" t="n">
        <v>34</v>
      </c>
      <c r="B13" s="44" t="inlineStr">
        <is>
          <t>Санузел</t>
        </is>
      </c>
      <c r="C13" s="44" t="inlineStr">
        <is>
          <t>Санфаянс / Смесители</t>
        </is>
      </c>
      <c r="D13" s="44" t="inlineStr">
        <is>
          <t>Сантехника и санфаянс с/у (ванна Нерея 150, каркас Sensea, унитаз Sanita, раковина 60, смесители 2шт, душ, сифон)</t>
        </is>
      </c>
      <c r="E13" s="44" t="n">
        <v>4600779023659</v>
      </c>
      <c r="F13" s="62" t="inlineStr">
        <is>
          <t>компл.</t>
        </is>
      </c>
      <c r="G13" s="327" t="n">
        <v>1</v>
      </c>
      <c r="H13" s="173" t="n">
        <v>30021</v>
      </c>
      <c r="I13" s="173">
        <f>G13*H13</f>
        <v/>
      </c>
      <c r="J13" s="44" t="inlineStr">
        <is>
          <t>ООО Ле Монлид (Лемана ПРО)</t>
        </is>
      </c>
      <c r="K13" s="174">
        <f>HYPERLINK("https://lemanapro.ru/search/?q=%D0%92%D0%B0%D0%BD%D0%BD%D0%B0+%D0%9D%D0%B5%D1%80%D0%B5%D1%8F+150%D1%8570+%D0%B0%D0%BA%D1%80%D0%B8%D0%BB%D0%BE%D0%B2%D0%B0%D1%8F", "Открыть ↗")</f>
        <v/>
      </c>
      <c r="L13" s="44" t="inlineStr"/>
    </row>
    <row r="14" ht="20" customHeight="1">
      <c r="A14" s="64" t="n">
        <v>35</v>
      </c>
      <c r="B14" s="49" t="inlineStr">
        <is>
          <t>Санузел</t>
        </is>
      </c>
      <c r="C14" s="49" t="inlineStr">
        <is>
          <t>Керамогранит / Затирка</t>
        </is>
      </c>
      <c r="D14" s="49" t="inlineStr">
        <is>
          <t>Керамогранит Calacatta 60х120 (14 упак. / 20.16 м²) + затирка Ceresit CE 40 2кг 2шт</t>
        </is>
      </c>
      <c r="E14" s="49" t="n">
        <v>4673766221451</v>
      </c>
      <c r="F14" s="64" t="inlineStr">
        <is>
          <t>компл.</t>
        </is>
      </c>
      <c r="G14" s="326" t="n">
        <v>1</v>
      </c>
      <c r="H14" s="172" t="n">
        <v>33457</v>
      </c>
      <c r="I14" s="172">
        <f>G14*H14</f>
        <v/>
      </c>
      <c r="J14" s="49" t="inlineStr">
        <is>
          <t>ООО Ле Монлид (Лемана ПРО)</t>
        </is>
      </c>
      <c r="K14" s="175">
        <f>HYPERLINK("https://lemanapro.ru/search/?q=%D0%9A%D0%B5%D1%80%D0%B0%D0%BC%D0%BE%D0%B3%D1%80%D0%B0%D0%BD%D0%B8%D1%82+Calacatta+60%D1%85120", "Открыть ↗")</f>
        <v/>
      </c>
      <c r="L14" s="49" t="inlineStr"/>
    </row>
    <row r="15" ht="20" customHeight="1">
      <c r="A15" s="62" t="n">
        <v>36</v>
      </c>
      <c r="B15" s="44" t="inlineStr">
        <is>
          <t>Санузел</t>
        </is>
      </c>
      <c r="C15" s="44" t="inlineStr">
        <is>
          <t>Плиточный клей</t>
        </is>
      </c>
      <c r="D15" s="44" t="inlineStr">
        <is>
          <t>Плиточный клей Unis 2000 C1T 25 кг для формата 60х120 (13 мешков)</t>
        </is>
      </c>
      <c r="E15" s="44" t="n">
        <v>4607005180063</v>
      </c>
      <c r="F15" s="62" t="inlineStr">
        <is>
          <t>мешок</t>
        </is>
      </c>
      <c r="G15" s="327" t="n">
        <v>13</v>
      </c>
      <c r="H15" s="173" t="n">
        <v>382.53846</v>
      </c>
      <c r="I15" s="173">
        <f>G15*H15</f>
        <v/>
      </c>
      <c r="J15" s="44" t="inlineStr">
        <is>
          <t>ООО Ле Монлид (Лемана ПРО)</t>
        </is>
      </c>
      <c r="K15" s="174">
        <f>HYPERLINK("https://lemanapro.ru/search/?q=%D0%9F%D0%BB%D0%B8%D1%82%D0%BE%D1%87%D0%BD%D1%8B%D0%B9+%D0%BA%D0%BB%D0%B5%D0%B9+Unis+2000+C1T", "Открыть ↗")</f>
        <v/>
      </c>
      <c r="L15" s="44" t="inlineStr"/>
    </row>
    <row r="16" ht="20" customHeight="1">
      <c r="A16" s="64" t="n">
        <v>37</v>
      </c>
      <c r="B16" s="49" t="inlineStr">
        <is>
          <t>Санузел</t>
        </is>
      </c>
      <c r="C16" s="49" t="inlineStr">
        <is>
          <t>СВП</t>
        </is>
      </c>
      <c r="D16" s="49" t="inlineStr">
        <is>
          <t>Система выравнивания плитки СВП DILWIS (зажимы 1 мм 200 шт, клинья 100 шт)</t>
        </is>
      </c>
      <c r="E16" s="49" t="n">
        <v>4610085150475</v>
      </c>
      <c r="F16" s="64" t="inlineStr">
        <is>
          <t>компл.</t>
        </is>
      </c>
      <c r="G16" s="326" t="n">
        <v>1</v>
      </c>
      <c r="H16" s="172" t="n">
        <v>853</v>
      </c>
      <c r="I16" s="172">
        <f>G16*H16</f>
        <v/>
      </c>
      <c r="J16" s="49" t="inlineStr">
        <is>
          <t>ООО Ле Монлид (Лемана ПРО)</t>
        </is>
      </c>
      <c r="K16" s="175">
        <f>HYPERLINK("https://lemanapro.ru/search/?q=%D0%A1%D0%92%D0%9F+DILWIS+%D0%B7%D0%B0%D0%B6%D0%B8%D0%BC%D1%8B+%D0%B4%D0%BB%D1%8F+%D0%BF%D0%BB%D0%B8%D1%82%D0%BA%D0%B8", "Открыть ↗")</f>
        <v/>
      </c>
      <c r="L16" s="49" t="inlineStr"/>
    </row>
    <row r="17" ht="20" customHeight="1">
      <c r="A17" s="62" t="n">
        <v>38</v>
      </c>
      <c r="B17" s="44" t="inlineStr">
        <is>
          <t>Черновые стены</t>
        </is>
      </c>
      <c r="C17" s="44" t="inlineStr">
        <is>
          <t>Шпаклёвка</t>
        </is>
      </c>
      <c r="D17" s="44" t="inlineStr">
        <is>
          <t>Материалы для штукатурки и шпаклёвки (повторный добор: финиш 20кг, штукатурка 2шт)</t>
        </is>
      </c>
      <c r="E17" s="44" t="n">
        <v>4601745000407</v>
      </c>
      <c r="F17" s="62" t="inlineStr">
        <is>
          <t>компл.</t>
        </is>
      </c>
      <c r="G17" s="327" t="n">
        <v>1</v>
      </c>
      <c r="H17" s="173" t="n">
        <v>1594</v>
      </c>
      <c r="I17" s="173">
        <f>G17*H17</f>
        <v/>
      </c>
      <c r="J17" s="44" t="inlineStr">
        <is>
          <t>ООО Ле Монлид (Лемана ПРО)</t>
        </is>
      </c>
      <c r="K17" s="174">
        <f>HYPERLINK("https://lemanapro.ru/search/?q=штукатурка+старатели+30кг", "Открыть ↗")</f>
        <v/>
      </c>
      <c r="L17" s="44" t="inlineStr"/>
    </row>
    <row r="18" ht="20" customHeight="1">
      <c r="A18" s="64" t="n">
        <v>39</v>
      </c>
      <c r="B18" s="49" t="inlineStr">
        <is>
          <t>Санузел</t>
        </is>
      </c>
      <c r="C18" s="49" t="inlineStr">
        <is>
          <t>Стяжка / Короба</t>
        </is>
      </c>
      <c r="D18" s="49" t="inlineStr">
        <is>
          <t>Материалы для стяжки пола и короба с/у (пескобетон М-300 6шт, Knauf 50х40, ГСП 2шт, фибра, саморезы, стамеска)</t>
        </is>
      </c>
      <c r="E18" s="49" t="n">
        <v>4610007550932</v>
      </c>
      <c r="F18" s="64" t="inlineStr">
        <is>
          <t>компл.</t>
        </is>
      </c>
      <c r="G18" s="326" t="n">
        <v>1</v>
      </c>
      <c r="H18" s="172" t="n">
        <v>3182.67</v>
      </c>
      <c r="I18" s="172">
        <f>G18*H18</f>
        <v/>
      </c>
      <c r="J18" s="49" t="inlineStr">
        <is>
          <t>ООО Ле Монлид (Лемана ПРО)</t>
        </is>
      </c>
      <c r="K18" s="175">
        <f>HYPERLINK("https://lemanapro.ru/search/?q=пескобетон+м300", "Открыть ↗")</f>
        <v/>
      </c>
      <c r="L18" s="49" t="inlineStr"/>
    </row>
    <row r="19" ht="20" customHeight="1">
      <c r="A19" s="62" t="n">
        <v>45</v>
      </c>
      <c r="B19" s="44" t="inlineStr">
        <is>
          <t>Санузел</t>
        </is>
      </c>
      <c r="C19" s="44" t="inlineStr">
        <is>
          <t>Черновые стены / Гидроизоляция</t>
        </is>
      </c>
      <c r="D19" s="44" t="inlineStr">
        <is>
          <t>Штукатурка Старатели 8шт, гидроизоляция Unis 4кг, люк Fonet 200х250, маяки, профиль, фитинги, рулетки</t>
        </is>
      </c>
      <c r="E19" s="44" t="n">
        <v>4601745000407</v>
      </c>
      <c r="F19" s="62" t="inlineStr">
        <is>
          <t>компл.</t>
        </is>
      </c>
      <c r="G19" s="327" t="n">
        <v>1</v>
      </c>
      <c r="H19" s="173" t="n">
        <v>7827.6</v>
      </c>
      <c r="I19" s="173">
        <f>G19*H19</f>
        <v/>
      </c>
      <c r="J19" s="44" t="inlineStr">
        <is>
          <t>ООО Ле Монлид (Лемана ПРО)</t>
        </is>
      </c>
      <c r="K19" s="174">
        <f>HYPERLINK("https://lemanapro.ru/search/?q=%D0%A8%D1%82%D1%83%D0%BA%D0%B0%D1%82%D1%83%D1%80%D0%BA%D0%B0+%D0%B3%D0%B8%D0%BF%D1%81%D0%BE%D0%B2%D0%B0%D1%8F+%D0%A1%D1%82%D0%B0%D1%80%D0%B0%D1%82%D0%B5%D0%BB%D0%B8+30%D0%BA%D0%B3", "Открыть ↗")</f>
        <v/>
      </c>
      <c r="L19" s="44" t="inlineStr"/>
    </row>
    <row r="20" ht="20" customHeight="1">
      <c r="A20" s="64" t="n">
        <v>46</v>
      </c>
      <c r="B20" s="49" t="inlineStr">
        <is>
          <t>Все зоны</t>
        </is>
      </c>
      <c r="C20" s="49" t="inlineStr">
        <is>
          <t>Радиаторы / Трубы</t>
        </is>
      </c>
      <c r="D20" s="49" t="inlineStr">
        <is>
          <t>Эмаль аэрозольная Luxens белая сатиновая и матовая 520 мл (2 шт.)</t>
        </is>
      </c>
      <c r="E20" s="49" t="n">
        <v>3276007227604</v>
      </c>
      <c r="F20" s="64" t="inlineStr">
        <is>
          <t>компл.</t>
        </is>
      </c>
      <c r="G20" s="326" t="n">
        <v>1</v>
      </c>
      <c r="H20" s="172" t="n">
        <v>648</v>
      </c>
      <c r="I20" s="172">
        <f>G20*H20</f>
        <v/>
      </c>
      <c r="J20" s="49" t="inlineStr">
        <is>
          <t>ООО Ле Монлид (Лемана ПРО)</t>
        </is>
      </c>
      <c r="K20" s="175">
        <f>HYPERLINK("https://lemanapro.ru/search/?q=%D0%AD%D0%BC%D0%B0%D0%BB%D1%8C+%D0%B0%D1%8D%D1%80%D0%BE%D0%B7%D0%BE%D0%BB%D1%8C%D0%BD%D0%B0%D1%8F+Luxens+%D0%B1%D0%B5%D0%BB%D0%B0%D1%8F+%D1%81%D0%B0%D1%82%D0%B8%D0%BD%D0%BE%D0%B2%D0%B0%D1%8F", "Открыть ↗")</f>
        <v/>
      </c>
      <c r="L20" s="49" t="inlineStr"/>
    </row>
    <row r="21" ht="20" customHeight="1">
      <c r="A21" s="62" t="n">
        <v>47</v>
      </c>
      <c r="B21" s="44" t="inlineStr">
        <is>
          <t>Санузел</t>
        </is>
      </c>
      <c r="C21" s="44" t="inlineStr">
        <is>
          <t>Стяжка / Добавки</t>
        </is>
      </c>
      <c r="D21" s="44" t="inlineStr">
        <is>
          <t>Ускоритель твердения Cemfix для стяжки пола, 1 литр (добавка в пескобетон М300)</t>
        </is>
      </c>
      <c r="E21" s="44" t="n">
        <v>4650068600092</v>
      </c>
      <c r="F21" s="62" t="inlineStr">
        <is>
          <t>шт.</t>
        </is>
      </c>
      <c r="G21" s="327" t="n">
        <v>1</v>
      </c>
      <c r="H21" s="173" t="n">
        <v>262</v>
      </c>
      <c r="I21" s="173">
        <f>G21*H21</f>
        <v/>
      </c>
      <c r="J21" s="44" t="inlineStr">
        <is>
          <t>ООО Ле Монлид (Лемана ПРО)</t>
        </is>
      </c>
      <c r="K21" s="174">
        <f>HYPERLINK("https://lemanapro.ru/search/?q=%D0%A3%D1%81%D0%BA%D0%BE%D1%80%D0%B8%D1%82%D0%B5%D0%BB%D1%8C+%D1%82%D0%B2%D0%B5%D1%80%D0%B4%D0%B5%D0%BD%D0%B8%D1%8F+Cemfix", "Открыть ↗")</f>
        <v/>
      </c>
      <c r="L21" s="44" t="inlineStr"/>
    </row>
    <row r="22" ht="20" customHeight="1">
      <c r="A22" s="64" t="n">
        <v>50</v>
      </c>
      <c r="B22" s="49" t="inlineStr">
        <is>
          <t>Санузел</t>
        </is>
      </c>
      <c r="C22" s="49" t="inlineStr">
        <is>
          <t>Расходники / Инструмент</t>
        </is>
      </c>
      <c r="D22" s="49" t="inlineStr">
        <is>
          <t>Пистолет для герметика скелетный + герметик санитарный силиконовый (Лемана ПРО)</t>
        </is>
      </c>
      <c r="E22" s="49" t="n">
        <v>82420455</v>
      </c>
      <c r="F22" s="64" t="inlineStr">
        <is>
          <t>компл.</t>
        </is>
      </c>
      <c r="G22" s="326" t="n">
        <v>1</v>
      </c>
      <c r="H22" s="172" t="n">
        <v>650</v>
      </c>
      <c r="I22" s="172">
        <f>G22*H22</f>
        <v/>
      </c>
      <c r="J22" s="49" t="inlineStr">
        <is>
          <t>ООО Ле Монлид (Лемана ПРО)</t>
        </is>
      </c>
      <c r="K22" s="175">
        <f>HYPERLINK("https://lemanapro.ru/search/?q=пистолет+для+герметика", "Открыть ↗")</f>
        <v/>
      </c>
      <c r="L22" s="49" t="inlineStr"/>
    </row>
    <row r="23" ht="20" customHeight="1">
      <c r="A23" s="62" t="n">
        <v>51</v>
      </c>
      <c r="B23" s="44" t="inlineStr">
        <is>
          <t>Санузел / Стены</t>
        </is>
      </c>
      <c r="C23" s="44" t="inlineStr">
        <is>
          <t>Штукатурка / Мешки</t>
        </is>
      </c>
      <c r="D23" s="44" t="inlineStr">
        <is>
          <t>Штукатурка гипсовая Старатели 30кг 3шт, перчатки, мешки 3шт (Лемана ПРО)</t>
        </is>
      </c>
      <c r="E23" s="44" t="n">
        <v>4601745000407</v>
      </c>
      <c r="F23" s="62" t="inlineStr">
        <is>
          <t>компл.</t>
        </is>
      </c>
      <c r="G23" s="327" t="n">
        <v>1</v>
      </c>
      <c r="H23" s="173" t="n">
        <v>1638</v>
      </c>
      <c r="I23" s="173">
        <f>G23*H23</f>
        <v/>
      </c>
      <c r="J23" s="44" t="inlineStr">
        <is>
          <t>ООО Ле Монлид (Лемана ПРО)</t>
        </is>
      </c>
      <c r="K23" s="174">
        <f>HYPERLINK("https://lemanapro.ru/search/?q=%D0%A8%D1%82%D1%83%D0%BA%D0%B0%D1%82%D1%83%D1%80%D0%BA%D0%B0+%D0%B3%D0%B8%D0%BF%D1%81%D0%BE%D0%B2%D0%B0%D1%8F+%D0%A1%D1%82%D0%B0%D1%80%D0%B0%D1%82%D0%B5%D0%BB%D0%B8+30%D0%BA%D0%B3", "Открыть ↗")</f>
        <v/>
      </c>
      <c r="L23" s="44" t="inlineStr"/>
    </row>
    <row r="24" ht="20" customHeight="1">
      <c r="A24" s="64" t="n">
        <v>52</v>
      </c>
      <c r="B24" s="49" t="inlineStr">
        <is>
          <t>Радиаторы / Стены</t>
        </is>
      </c>
      <c r="C24" s="49" t="inlineStr">
        <is>
          <t>Краска / Кисти</t>
        </is>
      </c>
      <c r="D24" s="49" t="inlineStr">
        <is>
          <t>Грунт-эмаль Luxens 3в1 белая 2.4кг, щетка металл 5-рядная, кисть Dilwis 70мм</t>
        </is>
      </c>
      <c r="E24" s="49" t="n">
        <v>4610088004195</v>
      </c>
      <c r="F24" s="64" t="inlineStr">
        <is>
          <t>компл.</t>
        </is>
      </c>
      <c r="G24" s="326" t="n">
        <v>1</v>
      </c>
      <c r="H24" s="172" t="n">
        <v>1769</v>
      </c>
      <c r="I24" s="172">
        <f>G24*H24</f>
        <v/>
      </c>
      <c r="J24" s="49" t="inlineStr">
        <is>
          <t>ООО Ле Монлид (Лемана ПРО)</t>
        </is>
      </c>
      <c r="K24" s="175">
        <f>HYPERLINK("https://lemanapro.ru/search/?q=%D0%93%D1%80%D1%83%D0%BD%D1%82+%D1%8D%D0%BC%D0%B0%D0%BB%D1%8C+Luxens+3%D0%B21+%D0%B1%D0%B5%D0%BB%D0%B0%D1%8F", "Открыть ↗")</f>
        <v/>
      </c>
      <c r="L24" s="49" t="inlineStr"/>
    </row>
    <row r="25" ht="20" customHeight="1">
      <c r="A25" s="62" t="n">
        <v>53</v>
      </c>
      <c r="B25" s="44" t="inlineStr">
        <is>
          <t>Санузел / Короб</t>
        </is>
      </c>
      <c r="C25" s="44" t="inlineStr">
        <is>
          <t>Профиль / Саморезы</t>
        </is>
      </c>
      <c r="D25" s="44" t="inlineStr">
        <is>
          <t>Профиль ППН 27х28 3шт, профиль ПП 60х27 1шт, саморезы оцинк./фосфат. (Лемана ПРО)</t>
        </is>
      </c>
      <c r="E25" s="44" t="n">
        <v>4600776027292</v>
      </c>
      <c r="F25" s="62" t="inlineStr">
        <is>
          <t>компл.</t>
        </is>
      </c>
      <c r="G25" s="327" t="n">
        <v>1</v>
      </c>
      <c r="H25" s="173" t="n">
        <v>911.7</v>
      </c>
      <c r="I25" s="173">
        <f>G25*H25</f>
        <v/>
      </c>
      <c r="J25" s="44" t="inlineStr">
        <is>
          <t>ООО Ле Монлид (Лемана ПРО)</t>
        </is>
      </c>
      <c r="K25" s="174">
        <f>HYPERLINK("https://lemanapro.ru/search/?q=%D0%9F%D1%80%D0%BE%D1%84%D0%B8%D0%BB%D1%8C+%D0%9F%D0%9F+60%D1%8527+Knauf", "Открыть ↗")</f>
        <v/>
      </c>
      <c r="L25" s="44" t="inlineStr"/>
    </row>
    <row r="26" ht="20" customHeight="1">
      <c r="A26" s="64" t="n">
        <v>54</v>
      </c>
      <c r="B26" s="49" t="inlineStr">
        <is>
          <t>Санузел / Короб</t>
        </is>
      </c>
      <c r="C26" s="49" t="inlineStr">
        <is>
          <t>ГСП / Профиль / Смеси</t>
        </is>
      </c>
      <c r="D26" s="49" t="inlineStr">
        <is>
          <t>ГСП-Н3 Knauf влагост. 1500х600х12.5 2шт, штукатурка Старатели 30кг, профили 28х27 2шт, 60х27 1шт</t>
        </is>
      </c>
      <c r="E26" s="49" t="n">
        <v>4607160003634</v>
      </c>
      <c r="F26" s="64" t="inlineStr">
        <is>
          <t>компл.</t>
        </is>
      </c>
      <c r="G26" s="326" t="n">
        <v>1</v>
      </c>
      <c r="H26" s="172" t="n">
        <v>1582</v>
      </c>
      <c r="I26" s="172">
        <f>G26*H26</f>
        <v/>
      </c>
      <c r="J26" s="49" t="inlineStr">
        <is>
          <t>ООО Ле Монлид (Лемана ПРО)</t>
        </is>
      </c>
      <c r="K26" s="175">
        <f>HYPERLINK("https://lemanapro.ru/search/?q=%D0%93%D0%A1%D0%9F+%D0%9D3+Knauf+%D0%B2%D0%BB%D0%B0%D0%B3%D0%BE%D1%81%D1%82%D0%BE%D0%B9%D0%BA%D0%B8%D0%B9", "Открыть ↗")</f>
        <v/>
      </c>
      <c r="L26" s="49" t="inlineStr"/>
    </row>
    <row r="27" ht="20" customHeight="1">
      <c r="A27" s="62" t="n">
        <v>55</v>
      </c>
      <c r="B27" s="44" t="inlineStr">
        <is>
          <t>Полы / Финиш</t>
        </is>
      </c>
      <c r="C27" s="44" t="inlineStr">
        <is>
          <t>Ламинат / Плинтус</t>
        </is>
      </c>
      <c r="D27" s="44" t="inlineStr">
        <is>
          <t>Ламинат Kronostep Дуб Ночиолла 33кл 10мм 24 упак./41.52м², подложка Monlid 9шт, плинтус белый 8см 20шт</t>
        </is>
      </c>
      <c r="E27" s="44" t="n">
        <v>4607113367721</v>
      </c>
      <c r="F27" s="62" t="inlineStr">
        <is>
          <t>компл.</t>
        </is>
      </c>
      <c r="G27" s="327" t="n">
        <v>1</v>
      </c>
      <c r="H27" s="173" t="n">
        <v>41914.52</v>
      </c>
      <c r="I27" s="173">
        <f>G27*H27</f>
        <v/>
      </c>
      <c r="J27" s="44" t="inlineStr">
        <is>
          <t>ООО Ле Монлид (Лемана ПРО)</t>
        </is>
      </c>
      <c r="K27" s="174">
        <f>HYPERLINK("https://lemanapro.ru/search/?q=%D0%9B%D0%B0%D0%BC%D0%B8%D0%BD%D0%B0%D1%82+Kronostep+%D0%94%D1%83%D0%B1+%D0%9D%D0%BE%D1%87%D0%B8%D0%BE%D0%BB%D0%BB%D0%B0+33+%D0%BA%D0%BB%D0%B0%D1%81%D1%81+10%D0%BC%D0%BC", "Открыть ↗")</f>
        <v/>
      </c>
      <c r="L27" s="44" t="inlineStr"/>
    </row>
    <row r="28" ht="20" customHeight="1">
      <c r="A28" s="64" t="n">
        <v>56</v>
      </c>
      <c r="B28" s="49" t="inlineStr">
        <is>
          <t>Стены / Потолок</t>
        </is>
      </c>
      <c r="C28" s="49" t="inlineStr">
        <is>
          <t>Грунт / Клей</t>
        </is>
      </c>
      <c r="D28" s="49" t="inlineStr">
        <is>
          <t>Грунт перекрывающий пятна Axton 1л, клей монтажный Kudo 2шт, валик нат. мех, макловица-мини</t>
        </is>
      </c>
      <c r="E28" s="49" t="n">
        <v>4690364027858</v>
      </c>
      <c r="F28" s="64" t="inlineStr">
        <is>
          <t>компл.</t>
        </is>
      </c>
      <c r="G28" s="326" t="n">
        <v>1</v>
      </c>
      <c r="H28" s="172" t="n">
        <v>1070</v>
      </c>
      <c r="I28" s="172">
        <f>G28*H28</f>
        <v/>
      </c>
      <c r="J28" s="49" t="inlineStr">
        <is>
          <t>ООО Ле Монлид (Лемана ПРО)</t>
        </is>
      </c>
      <c r="K28" s="175">
        <f>HYPERLINK("https://lemanapro.ru/search/?q=%D0%93%D1%80%D1%83%D0%BD%D1%82+%D0%BF%D0%B5%D1%80%D0%B5%D0%BA%D1%80%D1%8B%D0%B2%D0%B0%D1%8E%D1%89%D0%B8%D0%B9+%D0%BF%D1%8F%D1%82%D0%BD%D0%B0+Axton", "Открыть ↗")</f>
        <v/>
      </c>
      <c r="L28" s="49" t="inlineStr"/>
    </row>
    <row r="29" ht="20" customHeight="1">
      <c r="A29" s="62" t="n">
        <v>57</v>
      </c>
      <c r="B29" s="44" t="inlineStr">
        <is>
          <t>Хознужды / Инструмент</t>
        </is>
      </c>
      <c r="C29" s="44" t="inlineStr">
        <is>
          <t>Уборка / Краска</t>
        </is>
      </c>
      <c r="D29" s="44" t="inlineStr">
        <is>
          <t>Швабра In Loran, тряпки 3шт, краска Olimp 0.9л, упак. лента Axton, саморезы, ножи 2шт, карандаш</t>
        </is>
      </c>
      <c r="E29" s="44" t="n">
        <v>4630085515241</v>
      </c>
      <c r="F29" s="62" t="inlineStr">
        <is>
          <t>компл.</t>
        </is>
      </c>
      <c r="G29" s="327" t="n">
        <v>1</v>
      </c>
      <c r="H29" s="173" t="n">
        <v>1707.17</v>
      </c>
      <c r="I29" s="173">
        <f>G29*H29</f>
        <v/>
      </c>
      <c r="J29" s="44" t="inlineStr">
        <is>
          <t>ООО Ле Монлид (Лемана ПРО)</t>
        </is>
      </c>
      <c r="K29" s="174">
        <f>HYPERLINK("https://lemanapro.ru/search/?q=%D0%9A%D1%80%D0%B0%D1%81%D0%BA%D0%B0+%D0%9E%D0%BB%D0%B8%D0%BC%D0%BF+%D1%84%D0%B0%D1%81%D0%B0%D0%B4%D0%BD%D0%B0%D1%8F+%D0%B1%D0%B5%D0%BB%D0%B0%D1%8F", "Открыть ↗")</f>
        <v/>
      </c>
      <c r="L29" s="44" t="inlineStr"/>
    </row>
    <row r="30" ht="20" customHeight="1">
      <c r="A30" s="64" t="n">
        <v>65</v>
      </c>
      <c r="B30" s="49" t="inlineStr">
        <is>
          <t>Санузел / Инженерия</t>
        </is>
      </c>
      <c r="C30" s="49" t="inlineStr">
        <is>
          <t>Трубы / Фитинги / Биты</t>
        </is>
      </c>
      <c r="D30" s="49" t="inlineStr">
        <is>
          <t>Труба ПП D20 2шт, отвод 50х15°, соединитель D50, биты Rage PH2 70мм</t>
        </is>
      </c>
      <c r="E30" s="49" t="n">
        <v>4607181620858</v>
      </c>
      <c r="F30" s="64" t="inlineStr">
        <is>
          <t>компл.</t>
        </is>
      </c>
      <c r="G30" s="326" t="n">
        <v>1</v>
      </c>
      <c r="H30" s="172" t="n">
        <v>550</v>
      </c>
      <c r="I30" s="172">
        <f>G30*H30</f>
        <v/>
      </c>
      <c r="J30" s="49" t="inlineStr">
        <is>
          <t>ООО Ле Монлид (Лемана ПРО)</t>
        </is>
      </c>
      <c r="K30" s="175">
        <f>HYPERLINK("https://lemanapro.ru/search/?q=%D0%A2%D1%80%D1%83%D0%B1%D0%B0+%D0%BF%D0%BE%D0%BB%D0%B8%D0%BF%D1%80%D0%BE%D0%BF%D0%B8%D0%BB%D0%B5%D0%BD%D0%BE%D0%B2%D0%B0%D1%8F+20+%D0%BC%D0%BC+Valtec", "Открыть ↗")</f>
        <v/>
      </c>
      <c r="L30" s="49" t="inlineStr"/>
    </row>
    <row r="31" ht="20" customHeight="1">
      <c r="A31" s="62" t="n">
        <v>66</v>
      </c>
      <c r="B31" s="44" t="inlineStr">
        <is>
          <t>Санузел / Финиш</t>
        </is>
      </c>
      <c r="C31" s="44" t="inlineStr">
        <is>
          <t>Керамогранит Calacatta</t>
        </is>
      </c>
      <c r="D31" s="44" t="inlineStr">
        <is>
          <t>Керамогранит Calacatta superwhite 60х120 (добор 2 упак. / 2.88 м²)</t>
        </is>
      </c>
      <c r="E31" s="44" t="n">
        <v>4673766221451</v>
      </c>
      <c r="F31" s="62" t="inlineStr">
        <is>
          <t>упак.</t>
        </is>
      </c>
      <c r="G31" s="327" t="n">
        <v>2</v>
      </c>
      <c r="H31" s="173" t="n">
        <v>2938</v>
      </c>
      <c r="I31" s="173">
        <f>G31*H31</f>
        <v/>
      </c>
      <c r="J31" s="44" t="inlineStr">
        <is>
          <t>ООО Ле Монлид (Лемана ПРО)</t>
        </is>
      </c>
      <c r="K31" s="174">
        <f>HYPERLINK("https://lemanapro.ru/search/?q=%D0%9A%D0%B5%D1%80%D0%B0%D0%BC%D0%BE%D0%B3%D1%80%D0%B0%D0%BD%D0%B8%D1%82+Calacatta+60%D1%85120", "Открыть ↗")</f>
        <v/>
      </c>
      <c r="L31" s="44" t="inlineStr"/>
    </row>
    <row r="32" ht="22" customHeight="1">
      <c r="A32" s="64" t="n">
        <v>70</v>
      </c>
      <c r="B32" s="49" t="inlineStr">
        <is>
          <t>Все зоны / Стены</t>
        </is>
      </c>
      <c r="C32" s="49" t="inlineStr">
        <is>
          <t>Обои / Чистовая отделка</t>
        </is>
      </c>
      <c r="D32" s="49" t="inlineStr">
        <is>
          <t>Материалы для поклейки обоев (обои Twid 12 рул., клей Kleo 4 шт., грунтовка Knauf 10 кг, шпатели, валики, салфетки)</t>
        </is>
      </c>
      <c r="E32" s="49" t="n">
        <v>4607160007070</v>
      </c>
      <c r="F32" s="64" t="inlineStr">
        <is>
          <t>компл.</t>
        </is>
      </c>
      <c r="G32" s="326" t="n">
        <v>1</v>
      </c>
      <c r="H32" s="172" t="n">
        <v>24893</v>
      </c>
      <c r="I32" s="172">
        <f>G32*H32</f>
        <v/>
      </c>
      <c r="J32" s="49" t="inlineStr">
        <is>
          <t>ООО Ле Монлид (Лемана ПРО)</t>
        </is>
      </c>
      <c r="K32" s="175">
        <f>HYPERLINK("https://lemanapro.ru/search/?q=%D0%9E%D0%B1%D0%BE%D0%B8+%D0%B2%D0%B8%D0%BD%D0%B8%D0%BB%D0%BE%D0%B2%D1%8B%D0%B5+%D0%BD%D0%B0+%D1%84%D0%BB%D0%B8%D0%B7%D0%B5%D0%BB%D0%B8%D0%BD%D0%B5+1.06+Twid", "Открыть ↗")</f>
        <v/>
      </c>
      <c r="L32" s="49" t="inlineStr"/>
    </row>
    <row r="33" ht="22" customHeight="1">
      <c r="A33" s="322" t="n"/>
      <c r="B33" s="328" t="inlineStr">
        <is>
          <t>ИТОГО МАТЕРИАЛЫ ЛЕМАНА ПРО (ПО ЧЕКАМ):</t>
        </is>
      </c>
      <c r="C33" s="322" t="n"/>
      <c r="D33" s="322" t="n"/>
      <c r="E33" s="322" t="n"/>
      <c r="F33" s="322" t="n"/>
      <c r="G33" s="329" t="n"/>
      <c r="H33" s="330" t="n"/>
      <c r="I33" s="331">
        <f>SUM(I6:I32)</f>
        <v/>
      </c>
      <c r="J33" s="322" t="n"/>
      <c r="K33" s="322" t="n"/>
      <c r="L33" s="322" t="n"/>
    </row>
    <row r="34" ht="20" customHeight="1">
      <c r="A34" s="322" t="n"/>
      <c r="B34" s="332" t="inlineStr">
        <is>
          <t>⚡ БЛОК 2: ИНЖЕНЕРНЫЕ МАТЕРИАЛЫ, ДВЕРИ И ОСНАЩЕНИЕ (СПЕЦПОСТАВЩИКИ) (21 ПОЗИЦИЙ)</t>
        </is>
      </c>
      <c r="C34" s="322" t="n"/>
      <c r="D34" s="322" t="n"/>
      <c r="E34" s="322" t="n"/>
      <c r="F34" s="322" t="n"/>
      <c r="G34" s="329" t="n"/>
      <c r="H34" s="330" t="n"/>
      <c r="I34" s="330" t="n"/>
      <c r="J34" s="322" t="n"/>
      <c r="K34" s="322" t="n"/>
      <c r="L34" s="322" t="n"/>
    </row>
    <row r="35" ht="20" customHeight="1">
      <c r="A35" s="62" t="n">
        <v>6</v>
      </c>
      <c r="B35" s="44" t="inlineStr">
        <is>
          <t>Расходники</t>
        </is>
      </c>
      <c r="C35" s="44" t="inlineStr">
        <is>
          <t>Демонтаж</t>
        </is>
      </c>
      <c r="D35" s="44" t="inlineStr">
        <is>
          <t>Мешки мусорные плотные, перчатки рабочие (хозмаг/рынок)</t>
        </is>
      </c>
      <c r="E35" s="44" t="inlineStr">
        <is>
          <t>ХОЗМАГ-МЕШКИ</t>
        </is>
      </c>
      <c r="F35" s="62" t="inlineStr">
        <is>
          <t>компл.</t>
        </is>
      </c>
      <c r="G35" s="327" t="n">
        <v>1</v>
      </c>
      <c r="H35" s="173" t="n">
        <v>300</v>
      </c>
      <c r="I35" s="173">
        <f>G35*H35</f>
        <v/>
      </c>
      <c r="J35" s="44" t="inlineStr">
        <is>
          <t>Хозмаг / Рынок</t>
        </is>
      </c>
      <c r="K35" s="174">
        <f>HYPERLINK("https://www.avito.ru/tula/remont_i_stroitelstvo?q=мешки+мусорные+строительные", "Открыть ↗")</f>
        <v/>
      </c>
      <c r="L35" s="44" t="inlineStr"/>
    </row>
    <row r="36" ht="20" customHeight="1">
      <c r="A36" s="64" t="n">
        <v>11</v>
      </c>
      <c r="B36" s="49" t="inlineStr">
        <is>
          <t>Сантехника</t>
        </is>
      </c>
      <c r="C36" s="49" t="inlineStr">
        <is>
          <t>Учёт воды</t>
        </is>
      </c>
      <c r="D36" s="49" t="inlineStr">
        <is>
          <t>Счётчик горячей/холодной воды + кран на ввод (материалы)</t>
        </is>
      </c>
      <c r="E36" s="49" t="inlineStr">
        <is>
          <t>СЧЕТЧИК-ВОДЫ</t>
        </is>
      </c>
      <c r="F36" s="64" t="inlineStr">
        <is>
          <t>компл.</t>
        </is>
      </c>
      <c r="G36" s="326" t="n">
        <v>1</v>
      </c>
      <c r="H36" s="172" t="n">
        <v>2100</v>
      </c>
      <c r="I36" s="172">
        <f>G36*H36</f>
        <v/>
      </c>
      <c r="J36" s="49" t="inlineStr">
        <is>
          <t>Вадим (сантехник УК)</t>
        </is>
      </c>
      <c r="K36" s="175">
        <f>HYPERLINK("https://lemanapro.ru/search/?q=счетчик+воды+универсальный", "Открыть ↗")</f>
        <v/>
      </c>
      <c r="L36" s="49" t="inlineStr"/>
    </row>
    <row r="37" ht="20" customHeight="1">
      <c r="A37" s="62" t="n">
        <v>14</v>
      </c>
      <c r="B37" s="44" t="inlineStr">
        <is>
          <t>Сантехника</t>
        </is>
      </c>
      <c r="C37" s="44" t="inlineStr">
        <is>
          <t>Учёт воды</t>
        </is>
      </c>
      <c r="D37" s="44" t="inlineStr">
        <is>
          <t>Покупка и установка счётчика и кранов (доплата за фитинги и муфты)</t>
        </is>
      </c>
      <c r="E37" s="44" t="inlineStr">
        <is>
          <t>ФИТИНГИ-САНТЕХ</t>
        </is>
      </c>
      <c r="F37" s="62" t="inlineStr">
        <is>
          <t>компл.</t>
        </is>
      </c>
      <c r="G37" s="327" t="n">
        <v>1</v>
      </c>
      <c r="H37" s="173" t="n">
        <v>2000</v>
      </c>
      <c r="I37" s="173">
        <f>G37*H37</f>
        <v/>
      </c>
      <c r="J37" s="44" t="inlineStr">
        <is>
          <t>Вадим (сантехник УК)</t>
        </is>
      </c>
      <c r="K37" s="174">
        <f>HYPERLINK("https://lemanapro.ru/search/?q=шаровый+кран+1/2", "Открыть ↗")</f>
        <v/>
      </c>
      <c r="L37" s="44" t="inlineStr"/>
    </row>
    <row r="38" ht="20" customHeight="1">
      <c r="A38" s="64" t="n">
        <v>15</v>
      </c>
      <c r="B38" s="49" t="inlineStr">
        <is>
          <t>Входная группа</t>
        </is>
      </c>
      <c r="C38" s="49" t="inlineStr">
        <is>
          <t>Двери</t>
        </is>
      </c>
      <c r="D38" s="49" t="inlineStr">
        <is>
          <t>Покупка входной металлической двери с внутренней МДФ-панелью</t>
        </is>
      </c>
      <c r="E38" s="49" t="inlineStr">
        <is>
          <t>ДВЕРЬ-ВХОД-МДФ</t>
        </is>
      </c>
      <c r="F38" s="64" t="inlineStr">
        <is>
          <t>шт.</t>
        </is>
      </c>
      <c r="G38" s="326" t="n">
        <v>1</v>
      </c>
      <c r="H38" s="172" t="n">
        <v>16000</v>
      </c>
      <c r="I38" s="172">
        <f>G38*H38</f>
        <v/>
      </c>
      <c r="J38" s="49" t="inlineStr">
        <is>
          <t>Владимир (двери)</t>
        </is>
      </c>
      <c r="K38" s="175">
        <f>HYPERLINK("https://www.avito.ru/tula/remont_i_stroitelstvo?q=входная+металлическая+дверь+мдф", "Открыть ↗")</f>
        <v/>
      </c>
      <c r="L38" s="49" t="inlineStr"/>
    </row>
    <row r="39" ht="20" customHeight="1">
      <c r="A39" s="62" t="n">
        <v>16</v>
      </c>
      <c r="B39" s="44" t="inlineStr">
        <is>
          <t>Входная группа</t>
        </is>
      </c>
      <c r="C39" s="44" t="inlineStr">
        <is>
          <t>Логистика</t>
        </is>
      </c>
      <c r="D39" s="44" t="inlineStr">
        <is>
          <t>Доставка входной металлической двери на объект</t>
        </is>
      </c>
      <c r="E39" s="44" t="inlineStr">
        <is>
          <t>ДОСТАВКА-ДВЕРЬ</t>
        </is>
      </c>
      <c r="F39" s="62" t="inlineStr">
        <is>
          <t>рейс</t>
        </is>
      </c>
      <c r="G39" s="327" t="n">
        <v>1</v>
      </c>
      <c r="H39" s="173" t="n">
        <v>1500</v>
      </c>
      <c r="I39" s="173">
        <f>G39*H39</f>
        <v/>
      </c>
      <c r="J39" s="44" t="inlineStr">
        <is>
          <t>Владимир / Доставка</t>
        </is>
      </c>
      <c r="K39" s="174">
        <f>HYPERLINK("https://www.avito.ru/tula/predlozheniya_uslug?q=доставка+дверей+грузоперевозки", "Открыть ↗")</f>
        <v/>
      </c>
      <c r="L39" s="44" t="inlineStr"/>
    </row>
    <row r="40" ht="20" customHeight="1">
      <c r="A40" s="64" t="n">
        <v>17</v>
      </c>
      <c r="B40" s="49" t="inlineStr">
        <is>
          <t>Электрика</t>
        </is>
      </c>
      <c r="C40" s="49" t="inlineStr">
        <is>
          <t>Щит / Автоматика</t>
        </is>
      </c>
      <c r="D40" s="49" t="inlineStr">
        <is>
          <t>Черновые материалы электрики (щит 18м, новый электросчётчик, автоматы, УЗО, гофра)</t>
        </is>
      </c>
      <c r="E40" s="49" t="inlineStr">
        <is>
          <t>ЩИТ-АВТ-КОМПЛЕКТ</t>
        </is>
      </c>
      <c r="F40" s="64" t="inlineStr">
        <is>
          <t>компл.</t>
        </is>
      </c>
      <c r="G40" s="326" t="n">
        <v>1</v>
      </c>
      <c r="H40" s="172" t="n">
        <v>16500</v>
      </c>
      <c r="I40" s="172">
        <f>G40*H40</f>
        <v/>
      </c>
      <c r="J40" s="49" t="inlineStr">
        <is>
          <t>Анатолий / Поставщик</t>
        </is>
      </c>
      <c r="K40" s="175">
        <f>HYPERLINK("https://lemanapro.ru/search/?q=щит+встраиваемый+18+модулей", "Открыть ↗")</f>
        <v/>
      </c>
      <c r="L40" s="49" t="inlineStr"/>
    </row>
    <row r="41" ht="20" customHeight="1">
      <c r="A41" s="62" t="n">
        <v>19</v>
      </c>
      <c r="B41" s="44" t="inlineStr">
        <is>
          <t>Электрика</t>
        </is>
      </c>
      <c r="C41" s="44" t="inlineStr">
        <is>
          <t>Кабель</t>
        </is>
      </c>
      <c r="D41" s="44" t="inlineStr">
        <is>
          <t>Кабель силовой ВВГнг-LS (ГОСТ 3х2.5 и 3х1.5 для всех трасс)</t>
        </is>
      </c>
      <c r="E41" s="44" t="inlineStr">
        <is>
          <t>ВВГнг-LS-ГОСТ-1</t>
        </is>
      </c>
      <c r="F41" s="62" t="inlineStr">
        <is>
          <t>бухта</t>
        </is>
      </c>
      <c r="G41" s="327" t="n">
        <v>1</v>
      </c>
      <c r="H41" s="173" t="n">
        <v>18000</v>
      </c>
      <c r="I41" s="173">
        <f>G41*H41</f>
        <v/>
      </c>
      <c r="J41" s="44" t="inlineStr">
        <is>
          <t>Электромонтаж / Поставщик</t>
        </is>
      </c>
      <c r="K41" s="174">
        <f>HYPERLINK("https://lemanapro.ru/search/?q=кабель+ВВГнг-LS+3х2.5", "Открыть ↗")</f>
        <v/>
      </c>
      <c r="L41" s="44" t="inlineStr"/>
    </row>
    <row r="42" ht="20" customHeight="1">
      <c r="A42" s="64" t="n">
        <v>20</v>
      </c>
      <c r="B42" s="49" t="inlineStr">
        <is>
          <t>Электрика</t>
        </is>
      </c>
      <c r="C42" s="49" t="inlineStr">
        <is>
          <t>Крепёж</t>
        </is>
      </c>
      <c r="D42" s="49" t="inlineStr">
        <is>
          <t>Стяжки нейлоновые и крепёж для монтажа кабеля</t>
        </is>
      </c>
      <c r="E42" s="49" t="inlineStr">
        <is>
          <t>КРЕПЕЖ-КАБЕЛЬ</t>
        </is>
      </c>
      <c r="F42" s="64" t="inlineStr">
        <is>
          <t>компл.</t>
        </is>
      </c>
      <c r="G42" s="326" t="n">
        <v>1</v>
      </c>
      <c r="H42" s="172" t="n">
        <v>1000</v>
      </c>
      <c r="I42" s="172">
        <f>G42*H42</f>
        <v/>
      </c>
      <c r="J42" s="49" t="inlineStr">
        <is>
          <t>Хозмаг / Электромонтаж</t>
        </is>
      </c>
      <c r="K42" s="175">
        <f>HYPERLINK("https://lemanapro.ru/search/?q=дюбель+хомут+для+кабеля", "Открыть ↗")</f>
        <v/>
      </c>
      <c r="L42" s="49" t="inlineStr"/>
    </row>
    <row r="43" ht="20" customHeight="1">
      <c r="A43" s="62" t="n">
        <v>23</v>
      </c>
      <c r="B43" s="44" t="inlineStr">
        <is>
          <t>Электрика</t>
        </is>
      </c>
      <c r="C43" s="44" t="inlineStr">
        <is>
          <t>Кабель</t>
        </is>
      </c>
      <c r="D43" s="44" t="inlineStr">
        <is>
          <t>Докупка силового кабеля ВВГнг-LS (дополнительный метраж трасс)</t>
        </is>
      </c>
      <c r="E43" s="44" t="inlineStr">
        <is>
          <t>ВВГнг-LS-ГОСТ-2</t>
        </is>
      </c>
      <c r="F43" s="62" t="inlineStr">
        <is>
          <t>бухта</t>
        </is>
      </c>
      <c r="G43" s="327" t="n">
        <v>1</v>
      </c>
      <c r="H43" s="173" t="n">
        <v>13000</v>
      </c>
      <c r="I43" s="173">
        <f>G43*H43</f>
        <v/>
      </c>
      <c r="J43" s="44" t="inlineStr">
        <is>
          <t>Электромонтаж / Поставщик</t>
        </is>
      </c>
      <c r="K43" s="174">
        <f>HYPERLINK("https://lemanapro.ru/search/?q=кабель+ВВГнг-LS+3х1.5", "Открыть ↗")</f>
        <v/>
      </c>
      <c r="L43" s="44" t="inlineStr"/>
    </row>
    <row r="44" ht="20" customHeight="1">
      <c r="A44" s="64" t="n">
        <v>27</v>
      </c>
      <c r="B44" s="49" t="inlineStr">
        <is>
          <t>Оснащение</t>
        </is>
      </c>
      <c r="C44" s="49" t="inlineStr">
        <is>
          <t>Инвентарь</t>
        </is>
      </c>
      <c r="D44" s="49" t="inlineStr">
        <is>
          <t>Портативная акустика Xiaomi Bluetooth Speaker Essential Green</t>
        </is>
      </c>
      <c r="E44" s="49" t="inlineStr">
        <is>
          <t>XIAOMI-SPK-ESS</t>
        </is>
      </c>
      <c r="F44" s="64" t="inlineStr">
        <is>
          <t>шт.</t>
        </is>
      </c>
      <c r="G44" s="326" t="n">
        <v>1</v>
      </c>
      <c r="H44" s="172" t="n">
        <v>1250</v>
      </c>
      <c r="I44" s="172">
        <f>G44*H44</f>
        <v/>
      </c>
      <c r="J44" s="49" t="inlineStr">
        <is>
          <t>ООО ДНС Ритейл (DNS)</t>
        </is>
      </c>
      <c r="K44" s="175">
        <f>HYPERLINK("https://www.dns-shop.ru/search/?q=Xiaomi+Bluetooth+Speaker", "Открыть ↗")</f>
        <v/>
      </c>
      <c r="L44" s="49" t="inlineStr"/>
    </row>
    <row r="45" ht="20" customHeight="1">
      <c r="A45" s="62" t="n">
        <v>29</v>
      </c>
      <c r="B45" s="44" t="inlineStr">
        <is>
          <t>Оснащение</t>
        </is>
      </c>
      <c r="C45" s="44" t="inlineStr">
        <is>
          <t>Хознужды</t>
        </is>
      </c>
      <c r="D45" s="44" t="inlineStr">
        <is>
          <t>Хозрасходы на объект: салфетки влажные и питьевая вода для мастеров</t>
        </is>
      </c>
      <c r="E45" s="44" t="inlineStr">
        <is>
          <t>ХОЗ-ВОДА-САЛФЕТКИ</t>
        </is>
      </c>
      <c r="F45" s="62" t="inlineStr">
        <is>
          <t>компл.</t>
        </is>
      </c>
      <c r="G45" s="327" t="n">
        <v>1</v>
      </c>
      <c r="H45" s="173" t="n">
        <v>520</v>
      </c>
      <c r="I45" s="173">
        <f>G45*H45</f>
        <v/>
      </c>
      <c r="J45" s="44" t="inlineStr">
        <is>
          <t>Хозмаг / Продукты</t>
        </is>
      </c>
      <c r="K45" s="174">
        <f>HYPERLINK("https://www.avito.ru/tula/produkty_pitaniya?q=питьевая+вода+19л", "Открыть ↗")</f>
        <v/>
      </c>
      <c r="L45" s="44" t="inlineStr"/>
    </row>
    <row r="46" ht="20" customHeight="1">
      <c r="A46" s="64" t="n">
        <v>43</v>
      </c>
      <c r="B46" s="49" t="inlineStr">
        <is>
          <t>Санузел</t>
        </is>
      </c>
      <c r="C46" s="49" t="inlineStr">
        <is>
          <t>Канализация</t>
        </is>
      </c>
      <c r="D46" s="49" t="inlineStr">
        <is>
          <t>Канализация с/у (муфта-восстановитель раструба 110/110, трубы ПП 50, тройник 110/50, заглушка, отводы)</t>
        </is>
      </c>
      <c r="E46" s="49" t="inlineStr">
        <is>
          <t>КАНАЛ-СУ-110-50</t>
        </is>
      </c>
      <c r="F46" s="64" t="inlineStr">
        <is>
          <t>компл.</t>
        </is>
      </c>
      <c r="G46" s="326" t="n">
        <v>1</v>
      </c>
      <c r="H46" s="172" t="n">
        <v>2988</v>
      </c>
      <c r="I46" s="172">
        <f>G46*H46</f>
        <v/>
      </c>
      <c r="J46" s="49" t="inlineStr">
        <is>
          <t>ИП Кучеров М.И. (Полимерстрой)</t>
        </is>
      </c>
      <c r="K46" s="175">
        <f>HYPERLINK("https://www.avito.ru/tula/remont_i_stroitelstvo?q=восстановитель+раструба+110", "Открыть ↗")</f>
        <v/>
      </c>
      <c r="L46" s="49" t="inlineStr"/>
    </row>
    <row r="47" ht="20" customHeight="1">
      <c r="A47" s="62" t="n">
        <v>44</v>
      </c>
      <c r="B47" s="44" t="inlineStr">
        <is>
          <t>Санузел / Кухня</t>
        </is>
      </c>
      <c r="C47" s="44" t="inlineStr">
        <is>
          <t>Водоснабжение</t>
        </is>
      </c>
      <c r="D47" s="44" t="inlineStr">
        <is>
          <t>Трубы армированные Faser 20х2.8 12м, настенная планка смесителя, кран DN15, муфты, клипсы</t>
        </is>
      </c>
      <c r="E47" s="44" t="inlineStr">
        <is>
          <t>PPR-FASER-WATSON</t>
        </is>
      </c>
      <c r="F47" s="62" t="inlineStr">
        <is>
          <t>компл.</t>
        </is>
      </c>
      <c r="G47" s="327" t="n">
        <v>1</v>
      </c>
      <c r="H47" s="173" t="n">
        <v>3139.54</v>
      </c>
      <c r="I47" s="173">
        <f>G47*H47</f>
        <v/>
      </c>
      <c r="J47" s="44" t="inlineStr">
        <is>
          <t>ТС «Ваттсон» (Центргазсервис)</t>
        </is>
      </c>
      <c r="K47" s="174">
        <f>HYPERLINK("https://wattson.ru/search/?q=Faser+20", "Открыть ↗")</f>
        <v/>
      </c>
      <c r="L47" s="44" t="inlineStr"/>
    </row>
    <row r="48" ht="20" customHeight="1">
      <c r="A48" s="64" t="n">
        <v>58</v>
      </c>
      <c r="B48" s="49" t="inlineStr">
        <is>
          <t>Электрика</t>
        </is>
      </c>
      <c r="C48" s="49" t="inlineStr">
        <is>
          <t>Материалы / Розетки</t>
        </is>
      </c>
      <c r="D48" s="49" t="inlineStr">
        <is>
          <t>Электротовары (комплектующие/расходники электрики, ул. Коминтерна 26)</t>
        </is>
      </c>
      <c r="E48" s="49" t="inlineStr">
        <is>
          <t>ЭЛЕКТРО-КОМИНТЕРНА</t>
        </is>
      </c>
      <c r="F48" s="64" t="inlineStr">
        <is>
          <t>компл.</t>
        </is>
      </c>
      <c r="G48" s="326" t="n">
        <v>1</v>
      </c>
      <c r="H48" s="172" t="n">
        <v>190</v>
      </c>
      <c r="I48" s="172">
        <f>G48*H48</f>
        <v/>
      </c>
      <c r="J48" s="49" t="inlineStr">
        <is>
          <t>Магазин «Электротовары»</t>
        </is>
      </c>
      <c r="K48" s="175">
        <f>HYPERLINK("https://www.avito.ru/tula/remont_i_stroitelstvo?q=электротовары+коминтерна", "Открыть ↗")</f>
        <v/>
      </c>
      <c r="L48" s="49" t="inlineStr"/>
    </row>
    <row r="49" ht="20" customHeight="1">
      <c r="A49" s="62" t="n">
        <v>59</v>
      </c>
      <c r="B49" s="44" t="inlineStr">
        <is>
          <t>Санузел</t>
        </is>
      </c>
      <c r="C49" s="44" t="inlineStr">
        <is>
          <t>СВП / Клинья</t>
        </is>
      </c>
      <c r="D49" s="44" t="inlineStr">
        <is>
          <t>Клинья для плитки СВП 32х8х9мм 50шт (Магазин крепежа, ул. Мосина 29)</t>
        </is>
      </c>
      <c r="E49" s="44" t="inlineStr">
        <is>
          <t>СВП-КЛИНЬЯ-50</t>
        </is>
      </c>
      <c r="F49" s="62" t="inlineStr">
        <is>
          <t>упак.</t>
        </is>
      </c>
      <c r="G49" s="327" t="n">
        <v>1</v>
      </c>
      <c r="H49" s="173" t="n">
        <v>210</v>
      </c>
      <c r="I49" s="173">
        <f>G49*H49</f>
        <v/>
      </c>
      <c r="J49" s="44" t="inlineStr">
        <is>
          <t>ИП Звягинцева С.Н. (Крепеж)</t>
        </is>
      </c>
      <c r="K49" s="174">
        <f>HYPERLINK("https://www.avito.ru/tula/remont_i_stroitelstvo?q=клинья+для+плитки+свп", "Открыть ↗")</f>
        <v/>
      </c>
      <c r="L49" s="44" t="inlineStr"/>
    </row>
    <row r="50" ht="20" customHeight="1">
      <c r="A50" s="64" t="n">
        <v>64</v>
      </c>
      <c r="B50" s="49" t="inlineStr">
        <is>
          <t>Отопление</t>
        </is>
      </c>
      <c r="C50" s="49" t="inlineStr">
        <is>
          <t>Краны радиаторов</t>
        </is>
      </c>
      <c r="D50" s="49" t="inlineStr">
        <is>
          <t>Два крана на радиаторы отопления (запорно-регулировочные краны)</t>
        </is>
      </c>
      <c r="E50" s="49" t="inlineStr">
        <is>
          <t>КРАНЫ-РАДИАТОР-2</t>
        </is>
      </c>
      <c r="F50" s="64" t="inlineStr">
        <is>
          <t>компл.</t>
        </is>
      </c>
      <c r="G50" s="326" t="n">
        <v>1</v>
      </c>
      <c r="H50" s="172" t="n">
        <v>1100</v>
      </c>
      <c r="I50" s="172">
        <f>G50*H50</f>
        <v/>
      </c>
      <c r="J50" s="49" t="inlineStr">
        <is>
          <t>Сантехмаркет / Хозмаг</t>
        </is>
      </c>
      <c r="K50" s="175">
        <f>HYPERLINK("https://lemanapro.ru/search/?q=кран+для+радиатора+отопления", "Открыть ↗")</f>
        <v/>
      </c>
      <c r="L50" s="49" t="inlineStr"/>
    </row>
    <row r="51" ht="22" customHeight="1">
      <c r="A51" s="62" t="n">
        <v>67</v>
      </c>
      <c r="B51" s="44" t="inlineStr">
        <is>
          <t>Санузел / Плитка</t>
        </is>
      </c>
      <c r="C51" s="44" t="inlineStr">
        <is>
          <t>Уголки для плитки</t>
        </is>
      </c>
      <c r="D51" s="44" t="inlineStr">
        <is>
          <t>Уголки для плитки (Михаил)</t>
        </is>
      </c>
      <c r="E51" s="44" t="inlineStr">
        <is>
          <t>УГОЛКИ-ПЛИТКА</t>
        </is>
      </c>
      <c r="F51" s="62" t="inlineStr">
        <is>
          <t>компл.</t>
        </is>
      </c>
      <c r="G51" s="327" t="n">
        <v>1</v>
      </c>
      <c r="H51" s="173" t="n">
        <v>260</v>
      </c>
      <c r="I51" s="173">
        <f>G51*H51</f>
        <v/>
      </c>
      <c r="J51" s="44" t="inlineStr">
        <is>
          <t>Михаил (мастер/плиточник)</t>
        </is>
      </c>
      <c r="K51" s="174">
        <f>HYPERLINK("https://www.avito.ru/tula/remont_i_stroitelstvo?q=уголки+для+плитки", "Открыть ↗")</f>
        <v/>
      </c>
      <c r="L51" s="44" t="inlineStr"/>
    </row>
    <row r="52" ht="22" customHeight="1">
      <c r="A52" s="64" t="n">
        <v>73</v>
      </c>
      <c r="B52" s="49" t="inlineStr">
        <is>
          <t>Оснащение</t>
        </is>
      </c>
      <c r="C52" s="49" t="inlineStr">
        <is>
          <t>Инвентарь</t>
        </is>
      </c>
      <c r="D52" s="49" t="inlineStr">
        <is>
          <t>Зарядка для колонки Xiaomi (оснащение объекта)</t>
        </is>
      </c>
      <c r="E52" s="49" t="inlineStr">
        <is>
          <t>ЗУ-XIAOMI-TYPEC</t>
        </is>
      </c>
      <c r="F52" s="64" t="inlineStr">
        <is>
          <t>шт.</t>
        </is>
      </c>
      <c r="G52" s="326" t="n">
        <v>1</v>
      </c>
      <c r="H52" s="172" t="n">
        <v>550</v>
      </c>
      <c r="I52" s="172">
        <f>G52*H52</f>
        <v/>
      </c>
      <c r="J52" s="49" t="inlineStr">
        <is>
          <t>Магазин электроники</t>
        </is>
      </c>
      <c r="K52" s="175">
        <f>HYPERLINK("https://www.dns-shop.ru/search/?q=%D0%B7%D0%B0%D1%80%D1%8F%D0%B4%D0%BD%D0%BE%D0%B5+%D1%83%D1%81%D1%82%D1%80%D0%BE%D0%B9%D1%81%D1%82%D0%B2%D0%BE+Type+C+20W", "Открыть ↗")</f>
        <v/>
      </c>
      <c r="L52" s="49" t="inlineStr"/>
    </row>
    <row r="53" ht="20" customHeight="1">
      <c r="A53" s="62" t="n">
        <v>75</v>
      </c>
      <c r="B53" s="44" t="inlineStr">
        <is>
          <t>Санузел</t>
        </is>
      </c>
      <c r="C53" s="44" t="inlineStr">
        <is>
          <t>Сантехника / Материалы</t>
        </is>
      </c>
      <c r="D53" s="44" t="inlineStr">
        <is>
          <t>Фиттинги для труб «Американка» на трубы ПП на полотенцесушитель</t>
        </is>
      </c>
      <c r="E53" s="44" t="inlineStr">
        <is>
          <t>ФИТТИНГИ-АМЕРИКАНКА</t>
        </is>
      </c>
      <c r="F53" s="62" t="inlineStr">
        <is>
          <t>компл.</t>
        </is>
      </c>
      <c r="G53" s="327" t="n">
        <v>1</v>
      </c>
      <c r="H53" s="173" t="n">
        <v>1600</v>
      </c>
      <c r="I53" s="173">
        <f>G53*H53</f>
        <v/>
      </c>
      <c r="J53" s="44" t="inlineStr">
        <is>
          <t>Сантехмаркет / Хозмаг</t>
        </is>
      </c>
      <c r="K53" s="174">
        <f>HYPERLINK("https://www.avito.ru/tula/predlozheniya_uslug?q=фитинги+американка+для+труб", "Открыть ↗")</f>
        <v/>
      </c>
      <c r="L53" s="44" t="inlineStr"/>
    </row>
    <row r="54" ht="20" customHeight="1">
      <c r="A54" s="64" t="n">
        <v>76</v>
      </c>
      <c r="B54" s="49" t="inlineStr">
        <is>
          <t>Санузел</t>
        </is>
      </c>
      <c r="C54" s="49" t="inlineStr">
        <is>
          <t>Сантехника / Материалы</t>
        </is>
      </c>
      <c r="D54" s="49" t="inlineStr">
        <is>
          <t>Зажим для стекла (оснащение санузла)</t>
        </is>
      </c>
      <c r="E54" s="49" t="inlineStr">
        <is>
          <t>ЗАЖИМ-СТЕКЛО-СУ</t>
        </is>
      </c>
      <c r="F54" s="64" t="inlineStr">
        <is>
          <t>шт.</t>
        </is>
      </c>
      <c r="G54" s="326" t="n">
        <v>1</v>
      </c>
      <c r="H54" s="172" t="n">
        <v>800</v>
      </c>
      <c r="I54" s="172">
        <f>G54*H54</f>
        <v/>
      </c>
      <c r="J54" s="49" t="inlineStr">
        <is>
          <t>Хозмаг / Сантехмаркет</t>
        </is>
      </c>
      <c r="K54" s="175">
        <f>HYPERLINK("https://www.avito.ru/tula/predlozheniya_uslug?q=зажим+для+стекла+санузел", "Открыть ↗")</f>
        <v/>
      </c>
      <c r="L54" s="49" t="inlineStr"/>
    </row>
    <row r="55" ht="20" customHeight="1">
      <c r="A55" s="62" t="n">
        <v>77</v>
      </c>
      <c r="B55" s="44" t="inlineStr">
        <is>
          <t>Оснащение</t>
        </is>
      </c>
      <c r="C55" s="44" t="inlineStr">
        <is>
          <t>Инвентарь</t>
        </is>
      </c>
      <c r="D55" s="44" t="inlineStr">
        <is>
          <t>Вертикальный пылесос Timberk T-VCH-52 ДР (для финального клининга/стейджинга)</t>
        </is>
      </c>
      <c r="E55" s="44" t="inlineStr">
        <is>
          <t>TIMBERK-TVCH52</t>
        </is>
      </c>
      <c r="F55" s="62" t="inlineStr">
        <is>
          <t>шт.</t>
        </is>
      </c>
      <c r="G55" s="327" t="n">
        <v>1</v>
      </c>
      <c r="H55" s="173" t="n">
        <v>3200</v>
      </c>
      <c r="I55" s="173">
        <f>G55*H55</f>
        <v/>
      </c>
      <c r="J55" s="44" t="inlineStr">
        <is>
          <t>Техника Даром (ИП Панин И.П., Тула)</t>
        </is>
      </c>
      <c r="K55" s="174">
        <f>HYPERLINK("https://www.dns-shop.ru/search/?q=Timberk+T-VCH-52", "Открыть ↗")</f>
        <v/>
      </c>
      <c r="L55" s="44" t="inlineStr"/>
    </row>
    <row r="56" ht="20" customHeight="1">
      <c r="A56" s="322" t="n"/>
      <c r="B56" s="328" t="inlineStr">
        <is>
          <t>ИТОГО МАТЕРИАЛЫ СПЕЦПОСТАВЩИКОВ:</t>
        </is>
      </c>
      <c r="C56" s="322" t="n"/>
      <c r="D56" s="322" t="n"/>
      <c r="E56" s="322" t="n"/>
      <c r="F56" s="322" t="n"/>
      <c r="G56" s="333" t="n"/>
      <c r="H56" s="334" t="n"/>
      <c r="I56" s="331">
        <f>SUM(I35:I55)</f>
        <v/>
      </c>
      <c r="J56" s="322" t="n"/>
      <c r="K56" s="322" t="n"/>
      <c r="L56" s="322" t="n"/>
    </row>
    <row r="57" ht="20" customHeight="1">
      <c r="A57" s="322" t="n"/>
      <c r="B57" s="335" t="inlineStr">
        <is>
          <t>👷‍♂️ БЛОК 3: РАБОТЫ МАСТЕРОВ, ОТДЕЛКА, ДЕМОНТАЖ И ЛОГИСТИКА (20 ПОЗИЦИЙ)</t>
        </is>
      </c>
      <c r="C57" s="322" t="n"/>
      <c r="D57" s="322" t="n"/>
      <c r="E57" s="322" t="n"/>
      <c r="F57" s="322" t="n"/>
      <c r="G57" s="333" t="n"/>
      <c r="H57" s="334" t="n"/>
      <c r="I57" s="334" t="n"/>
      <c r="J57" s="322" t="n"/>
      <c r="K57" s="322" t="n"/>
      <c r="L57" s="322" t="n"/>
    </row>
    <row r="58" ht="20" customHeight="1">
      <c r="A58" s="64" t="n">
        <v>3</v>
      </c>
      <c r="B58" s="49" t="inlineStr">
        <is>
          <t>Безопасность</t>
        </is>
      </c>
      <c r="C58" s="49" t="inlineStr">
        <is>
          <t>Вскрытие</t>
        </is>
      </c>
      <c r="D58" s="49" t="inlineStr">
        <is>
          <t>Вскрытие старого замка и обеспечение первого доступа</t>
        </is>
      </c>
      <c r="E58" s="49" t="inlineStr">
        <is>
          <t>ВСКРЫТИЕ-ЗАМКА</t>
        </is>
      </c>
      <c r="F58" s="64" t="inlineStr">
        <is>
          <t>выезд</t>
        </is>
      </c>
      <c r="G58" s="326" t="n">
        <v>1</v>
      </c>
      <c r="H58" s="172" t="n">
        <v>8000</v>
      </c>
      <c r="I58" s="172">
        <f>G58*H58</f>
        <v/>
      </c>
      <c r="J58" s="49" t="inlineStr">
        <is>
          <t>Служба вскрытия</t>
        </is>
      </c>
      <c r="K58" s="175">
        <f>HYPERLINK("https://www.avito.ru/tula/predlozheniya_uslug?q=вскрытие+замков", "Открыть ↗")</f>
        <v/>
      </c>
      <c r="L58" s="49" t="inlineStr"/>
    </row>
    <row r="59" ht="20" customHeight="1">
      <c r="A59" s="62" t="n">
        <v>4</v>
      </c>
      <c r="B59" s="44" t="inlineStr">
        <is>
          <t>Демонтаж</t>
        </is>
      </c>
      <c r="C59" s="44" t="inlineStr">
        <is>
          <t>Вывоз мусора</t>
        </is>
      </c>
      <c r="D59" s="44" t="inlineStr">
        <is>
          <t>Заказ мусорного контейнера 8 м³ (лодочка)</t>
        </is>
      </c>
      <c r="E59" s="44" t="inlineStr">
        <is>
          <t>КОНТЕЙНЕР-МУСОР-8М3</t>
        </is>
      </c>
      <c r="F59" s="62" t="inlineStr">
        <is>
          <t>рейс</t>
        </is>
      </c>
      <c r="G59" s="327" t="n">
        <v>1</v>
      </c>
      <c r="H59" s="173" t="n">
        <v>8500</v>
      </c>
      <c r="I59" s="173">
        <f>G59*H59</f>
        <v/>
      </c>
      <c r="J59" s="44" t="inlineStr">
        <is>
          <t>Елена (вывоз мусора)</t>
        </is>
      </c>
      <c r="K59" s="174">
        <f>HYPERLINK("https://www.avito.ru/tula/predlozheniya_uslug?q=вывоз+мусора+контейнер+8+м3", "Открыть ↗")</f>
        <v/>
      </c>
      <c r="L59" s="44" t="inlineStr"/>
    </row>
    <row r="60" ht="20" customHeight="1">
      <c r="A60" s="64" t="n">
        <v>5</v>
      </c>
      <c r="B60" s="49" t="inlineStr">
        <is>
          <t>Демонтаж</t>
        </is>
      </c>
      <c r="C60" s="49" t="inlineStr">
        <is>
          <t>Аренда</t>
        </is>
      </c>
      <c r="D60" s="49" t="inlineStr">
        <is>
          <t>Аренда инструмента и помощь соседа по дому</t>
        </is>
      </c>
      <c r="E60" s="49" t="inlineStr">
        <is>
          <t>АРЕНДА-ИНСТРУМЕНТ</t>
        </is>
      </c>
      <c r="F60" s="64" t="inlineStr">
        <is>
          <t>услуга</t>
        </is>
      </c>
      <c r="G60" s="326" t="n">
        <v>1</v>
      </c>
      <c r="H60" s="172" t="n">
        <v>1000</v>
      </c>
      <c r="I60" s="172">
        <f>G60*H60</f>
        <v/>
      </c>
      <c r="J60" s="49" t="inlineStr">
        <is>
          <t>Сосед по дому</t>
        </is>
      </c>
      <c r="K60" s="175">
        <f>HYPERLINK("https://www.avito.ru/tula/predlozheniya_uslug?q=аренда+перфоратора", "Открыть ↗")</f>
        <v/>
      </c>
      <c r="L60" s="49" t="inlineStr"/>
    </row>
    <row r="61" ht="20" customHeight="1">
      <c r="A61" s="62" t="n">
        <v>7</v>
      </c>
      <c r="B61" s="44" t="inlineStr">
        <is>
          <t>Демонтаж</t>
        </is>
      </c>
      <c r="C61" s="44" t="inlineStr">
        <is>
          <t>Работы</t>
        </is>
      </c>
      <c r="D61" s="44" t="inlineStr">
        <is>
          <t>Оплата работы бригады разнорабочих (4 чел., 28 чел.-час, спуск с 5 этажа)</t>
        </is>
      </c>
      <c r="E61" s="44" t="inlineStr">
        <is>
          <t>ДЕМОНТАЖ-БРИГАДА-1</t>
        </is>
      </c>
      <c r="F61" s="62" t="inlineStr">
        <is>
          <t>смена</t>
        </is>
      </c>
      <c r="G61" s="327" t="n">
        <v>1</v>
      </c>
      <c r="H61" s="173" t="n">
        <v>16000</v>
      </c>
      <c r="I61" s="173">
        <f>G61*H61</f>
        <v/>
      </c>
      <c r="J61" s="44" t="inlineStr">
        <is>
          <t>Бригада разнорабочих</t>
        </is>
      </c>
      <c r="K61" s="174">
        <f>HYPERLINK("https://www.avito.ru/tula/predlozheniya_uslug?q=демонтаж+квартиры+разнорабочие", "Открыть ↗")</f>
        <v/>
      </c>
      <c r="L61" s="44" t="inlineStr"/>
    </row>
    <row r="62" ht="20" customHeight="1">
      <c r="A62" s="64" t="n">
        <v>18</v>
      </c>
      <c r="B62" s="49" t="inlineStr">
        <is>
          <t>Входная группа</t>
        </is>
      </c>
      <c r="C62" s="49" t="inlineStr">
        <is>
          <t>Монтаж</t>
        </is>
      </c>
      <c r="D62" s="49" t="inlineStr">
        <is>
          <t>Монтаж входной двери (демонтаж 2 старых дверей + монтаж новой)</t>
        </is>
      </c>
      <c r="E62" s="49" t="inlineStr">
        <is>
          <t>МОНТАЖ-ДВЕРИ-ВХОД</t>
        </is>
      </c>
      <c r="F62" s="64" t="inlineStr">
        <is>
          <t>услуга</t>
        </is>
      </c>
      <c r="G62" s="326" t="n">
        <v>1</v>
      </c>
      <c r="H62" s="172" t="n">
        <v>9000</v>
      </c>
      <c r="I62" s="172">
        <f>G62*H62</f>
        <v/>
      </c>
      <c r="J62" s="49" t="inlineStr">
        <is>
          <t>Андрей (монтаж дверей)</t>
        </is>
      </c>
      <c r="K62" s="175">
        <f>HYPERLINK("https://www.avito.ru/tula/predlozheniya_uslug?q=установка+входных+дверей", "Открыть ↗")</f>
        <v/>
      </c>
      <c r="L62" s="49" t="inlineStr"/>
    </row>
    <row r="63" ht="20" customHeight="1">
      <c r="A63" s="62" t="n">
        <v>22</v>
      </c>
      <c r="B63" s="44" t="inlineStr">
        <is>
          <t>Электрика</t>
        </is>
      </c>
      <c r="C63" s="44" t="inlineStr">
        <is>
          <t>Работы</t>
        </is>
      </c>
      <c r="D63" s="44" t="inlineStr">
        <is>
          <t>Электромонтажные работы под ключ (разводка 32 точек, штробы, щит, счётчик)</t>
        </is>
      </c>
      <c r="E63" s="44" t="inlineStr">
        <is>
          <t>РАБОТА-ЭЛЕКТРИКА-32</t>
        </is>
      </c>
      <c r="F63" s="62" t="inlineStr">
        <is>
          <t>договор</t>
        </is>
      </c>
      <c r="G63" s="327" t="n">
        <v>1</v>
      </c>
      <c r="H63" s="173" t="n">
        <v>50000</v>
      </c>
      <c r="I63" s="173">
        <f>G63*H63</f>
        <v/>
      </c>
      <c r="J63" s="44" t="inlineStr">
        <is>
          <t>Анатолий Кушнарев (бригада)</t>
        </is>
      </c>
      <c r="K63" s="174">
        <f>HYPERLINK("https://www.avito.ru/tula/predlozheniya_uslug?q=электромонтаж+квартиры+под+ключ", "Открыть ↗")</f>
        <v/>
      </c>
      <c r="L63" s="44" t="inlineStr"/>
    </row>
    <row r="64" ht="20" customHeight="1">
      <c r="A64" s="64" t="n">
        <v>24</v>
      </c>
      <c r="B64" s="49" t="inlineStr">
        <is>
          <t>Демонтаж</t>
        </is>
      </c>
      <c r="C64" s="49" t="inlineStr">
        <is>
          <t>Работы</t>
        </is>
      </c>
      <c r="D64" s="49" t="inlineStr">
        <is>
          <t>Зачистка стен/потолка (обои, плитка в зале и спальне), вынос мусора, 1-й слой грунта</t>
        </is>
      </c>
      <c r="E64" s="49" t="inlineStr">
        <is>
          <t>ДЕМОНТАЖ-ЗАЧИСТКА-2</t>
        </is>
      </c>
      <c r="F64" s="64" t="inlineStr">
        <is>
          <t>смена</t>
        </is>
      </c>
      <c r="G64" s="326" t="n">
        <v>1</v>
      </c>
      <c r="H64" s="172" t="n">
        <v>15000</v>
      </c>
      <c r="I64" s="172">
        <f>G64*H64</f>
        <v/>
      </c>
      <c r="J64" s="49" t="inlineStr">
        <is>
          <t>Бригада разнорабочих</t>
        </is>
      </c>
      <c r="K64" s="175">
        <f>HYPERLINK("https://www.avito.ru/tula/predlozheniya_uslug?q=зачистка+стен+демонтаж+обоев", "Открыть ↗")</f>
        <v/>
      </c>
      <c r="L64" s="49" t="inlineStr"/>
    </row>
    <row r="65" ht="20" customHeight="1">
      <c r="A65" s="62" t="n">
        <v>40</v>
      </c>
      <c r="B65" s="44" t="inlineStr">
        <is>
          <t>Логистика</t>
        </is>
      </c>
      <c r="C65" s="44" t="inlineStr">
        <is>
          <t>Доставка</t>
        </is>
      </c>
      <c r="D65" s="44" t="inlineStr">
        <is>
          <t>Грузовое такси / Доставка закупки материалов и сантехники (Лемана — Фрунзе 17)</t>
        </is>
      </c>
      <c r="E65" s="44" t="inlineStr">
        <is>
          <t>ГРУЗОТАКСИ-ЛЕРОЙ</t>
        </is>
      </c>
      <c r="F65" s="62" t="inlineStr">
        <is>
          <t>рейс</t>
        </is>
      </c>
      <c r="G65" s="327" t="n">
        <v>1</v>
      </c>
      <c r="H65" s="173" t="n">
        <v>2100</v>
      </c>
      <c r="I65" s="173">
        <f>G65*H65</f>
        <v/>
      </c>
      <c r="J65" s="44" t="inlineStr">
        <is>
          <t>Грузовое такси / Перевозка</t>
        </is>
      </c>
      <c r="K65" s="174">
        <f>HYPERLINK("https://www.avito.ru/tula/predlozheniya_uslug?q=грузоперевозки+грузовое+такси", "Открыть ↗")</f>
        <v/>
      </c>
      <c r="L65" s="44" t="inlineStr"/>
    </row>
    <row r="66" ht="20" customHeight="1">
      <c r="A66" s="64" t="n">
        <v>41</v>
      </c>
      <c r="B66" s="49" t="inlineStr">
        <is>
          <t>Демонтаж</t>
        </is>
      </c>
      <c r="C66" s="49" t="inlineStr">
        <is>
          <t>Работы</t>
        </is>
      </c>
      <c r="D66" s="49" t="inlineStr">
        <is>
          <t>Погрузка в Лемана ПРО, разгрузка и подъём на 5 этаж + демонтаж плитки пола с/у</t>
        </is>
      </c>
      <c r="E66" s="49" t="inlineStr">
        <is>
          <t>ПОДЪЕМ-ДЕМОНТАЖ-СУ</t>
        </is>
      </c>
      <c r="F66" s="64" t="inlineStr">
        <is>
          <t>смена</t>
        </is>
      </c>
      <c r="G66" s="326" t="n">
        <v>1</v>
      </c>
      <c r="H66" s="172" t="n">
        <v>15000</v>
      </c>
      <c r="I66" s="172">
        <f>G66*H66</f>
        <v/>
      </c>
      <c r="J66" s="49" t="inlineStr">
        <is>
          <t>Бригада грузчиков / Разнорабочие</t>
        </is>
      </c>
      <c r="K66" s="175">
        <f>HYPERLINK("https://www.avito.ru/tula/predlozheniya_uslug?q=подъем+стройматериалов+на+этаж+грузчики", "Открыть ↗")</f>
        <v/>
      </c>
      <c r="L66" s="49" t="inlineStr"/>
    </row>
    <row r="67" ht="20" customHeight="1">
      <c r="A67" s="62" t="n">
        <v>42</v>
      </c>
      <c r="B67" s="44" t="inlineStr">
        <is>
          <t>Черновые стены</t>
        </is>
      </c>
      <c r="C67" s="44" t="inlineStr">
        <is>
          <t>Отделочные работы</t>
        </is>
      </c>
      <c r="D67" s="44" t="inlineStr">
        <is>
          <t>Штукатурка (69 м² по 500 ₽) и шпаклёвка стен White Box (106 м² по 500 ₽)</t>
        </is>
      </c>
      <c r="E67" s="44" t="inlineStr">
        <is>
          <t>ОТДЕЛКА-СТЕН-ЕЛЕНА</t>
        </is>
      </c>
      <c r="F67" s="62" t="inlineStr">
        <is>
          <t>комплекс</t>
        </is>
      </c>
      <c r="G67" s="327" t="n">
        <v>1</v>
      </c>
      <c r="H67" s="173" t="n">
        <v>87500</v>
      </c>
      <c r="I67" s="173">
        <f>G67*H67</f>
        <v/>
      </c>
      <c r="J67" s="44" t="inlineStr">
        <is>
          <t>Елена (мастер-отделочник)</t>
        </is>
      </c>
      <c r="K67" s="174">
        <f>HYPERLINK("https://www.avito.ru/tula/predlozheniya_uslug?q=штукатурка+шпаклевка+стен", "Открыть ↗")</f>
        <v/>
      </c>
      <c r="L67" s="44" t="inlineStr"/>
    </row>
    <row r="68" ht="20" customHeight="1">
      <c r="A68" s="64" t="n">
        <v>48</v>
      </c>
      <c r="B68" s="49" t="inlineStr">
        <is>
          <t>Санузел</t>
        </is>
      </c>
      <c r="C68" s="49" t="inlineStr">
        <is>
          <t>Сантехника / Работы</t>
        </is>
      </c>
      <c r="D68" s="49" t="inlineStr">
        <is>
          <t>Срезка полотенцесушителя и нарезка трубной резьбы на отводах стояка</t>
        </is>
      </c>
      <c r="E68" s="49" t="inlineStr">
        <is>
          <t>РАБОТА-САНТЕХ-СУШ</t>
        </is>
      </c>
      <c r="F68" s="64" t="inlineStr">
        <is>
          <t>услуга</t>
        </is>
      </c>
      <c r="G68" s="326" t="n">
        <v>1</v>
      </c>
      <c r="H68" s="172" t="n">
        <v>3000</v>
      </c>
      <c r="I68" s="172">
        <f>G68*H68</f>
        <v/>
      </c>
      <c r="J68" s="49" t="inlineStr">
        <is>
          <t>Вадим (сантехник УК) / Сантехник</t>
        </is>
      </c>
      <c r="K68" s="175">
        <f>HYPERLINK("https://www.avito.ru/tula/predlozheniya_uslug?q=сантехник+срезка+полотенцесушителя", "Открыть ↗")</f>
        <v/>
      </c>
      <c r="L68" s="49" t="inlineStr"/>
    </row>
    <row r="69" ht="20" customHeight="1">
      <c r="A69" s="62" t="n">
        <v>49</v>
      </c>
      <c r="B69" s="44" t="inlineStr">
        <is>
          <t>Логистика</t>
        </is>
      </c>
      <c r="C69" s="44" t="inlineStr">
        <is>
          <t>Доставка</t>
        </is>
      </c>
      <c r="D69" s="44" t="inlineStr">
        <is>
          <t>Такси (оперативная доставка материалов и инструмента из Лемана ПРО на объект)</t>
        </is>
      </c>
      <c r="E69" s="44" t="inlineStr">
        <is>
          <t>ТАКСИ-ЛЕРОЙ-ОБЪЕКТ</t>
        </is>
      </c>
      <c r="F69" s="62" t="inlineStr">
        <is>
          <t>рейс</t>
        </is>
      </c>
      <c r="G69" s="327" t="n">
        <v>1</v>
      </c>
      <c r="H69" s="173" t="n">
        <v>1000</v>
      </c>
      <c r="I69" s="173">
        <f>G69*H69</f>
        <v/>
      </c>
      <c r="J69" s="44" t="inlineStr">
        <is>
          <t>Такси (Яндекс Go)</t>
        </is>
      </c>
      <c r="K69" s="174">
        <f>HYPERLINK("https://www.avito.ru/tula/predlozheniya_uslug?q=такси+доставка+курьер", "Открыть ↗")</f>
        <v/>
      </c>
      <c r="L69" s="44" t="inlineStr"/>
    </row>
    <row r="70" ht="22" customHeight="1">
      <c r="A70" s="64" t="n">
        <v>60</v>
      </c>
      <c r="B70" s="49" t="inlineStr">
        <is>
          <t>Логистика</t>
        </is>
      </c>
      <c r="C70" s="49" t="inlineStr">
        <is>
          <t>Доставка</t>
        </is>
      </c>
      <c r="D70" s="49" t="inlineStr">
        <is>
          <t>Такси (оперативная доставка / подвоз материалов на объект)</t>
        </is>
      </c>
      <c r="E70" s="49" t="inlineStr">
        <is>
          <t>ТАКСИ-ДОСТАВКА-2</t>
        </is>
      </c>
      <c r="F70" s="64" t="inlineStr">
        <is>
          <t>рейс</t>
        </is>
      </c>
      <c r="G70" s="326" t="n">
        <v>1</v>
      </c>
      <c r="H70" s="172" t="n">
        <v>850</v>
      </c>
      <c r="I70" s="172">
        <f>G70*H70</f>
        <v/>
      </c>
      <c r="J70" s="49" t="inlineStr">
        <is>
          <t>Такси (Яндекс Go)</t>
        </is>
      </c>
      <c r="K70" s="175">
        <f>HYPERLINK("https://www.avito.ru/tula/predlozheniya_uslug?q=такси+доставка+курьер", "Открыть ↗")</f>
        <v/>
      </c>
      <c r="L70" s="49" t="inlineStr"/>
    </row>
    <row r="71" ht="22" customHeight="1">
      <c r="A71" s="62" t="n">
        <v>61</v>
      </c>
      <c r="B71" s="44" t="inlineStr">
        <is>
          <t>Санузел</t>
        </is>
      </c>
      <c r="C71" s="44" t="inlineStr">
        <is>
          <t>Плиточные работы</t>
        </is>
      </c>
      <c r="D71" s="44" t="inlineStr">
        <is>
          <t>Работы плиточника (аванс / подготовка к укладке плитки в санузле)</t>
        </is>
      </c>
      <c r="E71" s="44" t="inlineStr">
        <is>
          <t>РАБОТА-ПЛИТОЧНИК-1</t>
        </is>
      </c>
      <c r="F71" s="62" t="inlineStr">
        <is>
          <t>аванс</t>
        </is>
      </c>
      <c r="G71" s="327" t="n">
        <v>1</v>
      </c>
      <c r="H71" s="173" t="n">
        <v>1700</v>
      </c>
      <c r="I71" s="173">
        <f>G71*H71</f>
        <v/>
      </c>
      <c r="J71" s="44" t="inlineStr">
        <is>
          <t>Плиточник (мастер)</t>
        </is>
      </c>
      <c r="K71" s="174">
        <f>HYPERLINK("https://www.avito.ru/tula/predlozheniya_uslug?q=плиточник+укладка+плитки", "Открыть ↗")</f>
        <v/>
      </c>
      <c r="L71" s="44" t="inlineStr"/>
    </row>
    <row r="72" ht="20" customHeight="1">
      <c r="A72" s="64" t="n">
        <v>62</v>
      </c>
      <c r="B72" s="49" t="inlineStr">
        <is>
          <t>Санузел</t>
        </is>
      </c>
      <c r="C72" s="49" t="inlineStr">
        <is>
          <t>Стяжка пола</t>
        </is>
      </c>
      <c r="D72" s="49" t="inlineStr">
        <is>
          <t>Работы плиточника: заливка стяжки пола в санузле/туалете</t>
        </is>
      </c>
      <c r="E72" s="49" t="inlineStr">
        <is>
          <t>СТЯЖКА-ПОЛА-СУ</t>
        </is>
      </c>
      <c r="F72" s="64" t="inlineStr">
        <is>
          <t>услуга</t>
        </is>
      </c>
      <c r="G72" s="326" t="n">
        <v>1</v>
      </c>
      <c r="H72" s="172" t="n">
        <v>3300</v>
      </c>
      <c r="I72" s="172">
        <f>G72*H72</f>
        <v/>
      </c>
      <c r="J72" s="49" t="inlineStr">
        <is>
          <t>Плиточник (мастер)</t>
        </is>
      </c>
      <c r="K72" s="175">
        <f>HYPERLINK("https://www.avito.ru/tula/predlozheniya_uslug?q=стяжка+пола+санузел", "Открыть ↗")</f>
        <v/>
      </c>
      <c r="L72" s="49" t="inlineStr"/>
    </row>
    <row r="73" ht="20" customHeight="1">
      <c r="A73" s="62" t="n">
        <v>63</v>
      </c>
      <c r="B73" s="44" t="inlineStr">
        <is>
          <t>Санузел</t>
        </is>
      </c>
      <c r="C73" s="44" t="inlineStr">
        <is>
          <t>Штукатурка стен</t>
        </is>
      </c>
      <c r="D73" s="44" t="inlineStr">
        <is>
          <t>Оплата за штукатурку туалета (санузла) под 90° под ванну и плитку</t>
        </is>
      </c>
      <c r="E73" s="44" t="inlineStr">
        <is>
          <t>ШТУКАТУРКА-СУ-90</t>
        </is>
      </c>
      <c r="F73" s="62" t="inlineStr">
        <is>
          <t>комплекс</t>
        </is>
      </c>
      <c r="G73" s="327" t="n">
        <v>1</v>
      </c>
      <c r="H73" s="173" t="n">
        <v>13400</v>
      </c>
      <c r="I73" s="173">
        <f>G73*H73</f>
        <v/>
      </c>
      <c r="J73" s="44" t="inlineStr">
        <is>
          <t>Елена (мастер-отделочник)</t>
        </is>
      </c>
      <c r="K73" s="174">
        <f>HYPERLINK("https://www.avito.ru/tula/predlozheniya_uslug?q=штукатурка+санузла+под+90", "Открыть ↗")</f>
        <v/>
      </c>
      <c r="L73" s="44" t="inlineStr"/>
    </row>
    <row r="74" ht="20" customHeight="1">
      <c r="A74" s="64" t="n">
        <v>68</v>
      </c>
      <c r="B74" s="49" t="inlineStr">
        <is>
          <t>Санузел</t>
        </is>
      </c>
      <c r="C74" s="49" t="inlineStr">
        <is>
          <t>Сантехнические работы</t>
        </is>
      </c>
      <c r="D74" s="49" t="inlineStr">
        <is>
          <t>Работы сантехников (разводка/монтаж узлов водоснабжения и канализации)</t>
        </is>
      </c>
      <c r="E74" s="49" t="inlineStr">
        <is>
          <t>РАБОТА-САНТЕХ-РАЗВОДКА</t>
        </is>
      </c>
      <c r="F74" s="64" t="inlineStr">
        <is>
          <t>комплекс</t>
        </is>
      </c>
      <c r="G74" s="326" t="n">
        <v>1</v>
      </c>
      <c r="H74" s="172" t="n">
        <v>3000</v>
      </c>
      <c r="I74" s="172">
        <f>G74*H74</f>
        <v/>
      </c>
      <c r="J74" s="49" t="inlineStr">
        <is>
          <t>Сантехники (мастера)</t>
        </is>
      </c>
      <c r="K74" s="175">
        <f>HYPERLINK("https://www.avito.ru/tula/predlozheniya_uslug?q=разводка+труб+сантехника", "Открыть ↗")</f>
        <v/>
      </c>
      <c r="L74" s="49" t="inlineStr"/>
    </row>
    <row r="75" ht="20" customHeight="1">
      <c r="A75" s="62" t="n">
        <v>71</v>
      </c>
      <c r="B75" s="44" t="inlineStr">
        <is>
          <t>Логистика</t>
        </is>
      </c>
      <c r="C75" s="44" t="inlineStr">
        <is>
          <t>Доставка</t>
        </is>
      </c>
      <c r="D75" s="44" t="inlineStr">
        <is>
          <t>Такси (оперативная доставка / подвоз материалов на объект ул. Фрунзе 17)</t>
        </is>
      </c>
      <c r="E75" s="44" t="inlineStr">
        <is>
          <t>ТАКСИ-ОБЪЕКТ-3</t>
        </is>
      </c>
      <c r="F75" s="62" t="inlineStr">
        <is>
          <t>рейс</t>
        </is>
      </c>
      <c r="G75" s="327" t="n">
        <v>1</v>
      </c>
      <c r="H75" s="173" t="n">
        <v>1050</v>
      </c>
      <c r="I75" s="173">
        <f>G75*H75</f>
        <v/>
      </c>
      <c r="J75" s="44" t="inlineStr">
        <is>
          <t>Такси</t>
        </is>
      </c>
      <c r="K75" s="174">
        <f>HYPERLINK("https://taxi.yandex.ru/", "Открыть ↗")</f>
        <v/>
      </c>
      <c r="L75" s="44" t="inlineStr"/>
    </row>
    <row r="76" ht="20" customHeight="1">
      <c r="A76" s="64" t="n">
        <v>74</v>
      </c>
      <c r="B76" s="49" t="inlineStr">
        <is>
          <t>Санузел / Кухня</t>
        </is>
      </c>
      <c r="C76" s="49" t="inlineStr">
        <is>
          <t>Плиточные работы</t>
        </is>
      </c>
      <c r="D76" s="49" t="inlineStr">
        <is>
          <t>Работы плиточника: укладка плитки в санузле, фартук на кухне, фартук ванной из плитки, лючки на магнитах, отверстия под розетки</t>
        </is>
      </c>
      <c r="E76" s="49" t="inlineStr">
        <is>
          <t>РАБОТА-ПЛИТОЧНИК-ФИНАЛ</t>
        </is>
      </c>
      <c r="F76" s="64" t="inlineStr">
        <is>
          <t>комплекс</t>
        </is>
      </c>
      <c r="G76" s="326" t="n">
        <v>1</v>
      </c>
      <c r="H76" s="172" t="n">
        <v>86000</v>
      </c>
      <c r="I76" s="172">
        <f>G76*H76</f>
        <v/>
      </c>
      <c r="J76" s="49" t="inlineStr">
        <is>
          <t>Плиточник (мастер)</t>
        </is>
      </c>
      <c r="K76" s="175">
        <f>HYPERLINK("https://www.avito.ru/tula/predlozheniya_uslug?q=укладка+плитки+санузел", "Открыть ↗")</f>
        <v/>
      </c>
      <c r="L76" s="49" t="inlineStr"/>
    </row>
    <row r="77" ht="20" customHeight="1">
      <c r="A77" s="62" t="n">
        <v>78</v>
      </c>
      <c r="B77" s="44" t="inlineStr">
        <is>
          <t>Логистика</t>
        </is>
      </c>
      <c r="C77" s="44" t="inlineStr">
        <is>
          <t>Доставка</t>
        </is>
      </c>
      <c r="D77" s="44" t="inlineStr">
        <is>
          <t>Такси (оперативная поездка по объекту)</t>
        </is>
      </c>
      <c r="E77" s="44" t="inlineStr">
        <is>
          <t>ТАКСИ-ОБЪЕКТ-4</t>
        </is>
      </c>
      <c r="F77" s="62" t="inlineStr">
        <is>
          <t>рейс</t>
        </is>
      </c>
      <c r="G77" s="327" t="n">
        <v>1</v>
      </c>
      <c r="H77" s="173" t="n">
        <v>700</v>
      </c>
      <c r="I77" s="173">
        <f>G77*H77</f>
        <v/>
      </c>
      <c r="J77" s="44" t="inlineStr">
        <is>
          <t>Такси</t>
        </is>
      </c>
      <c r="K77" s="174">
        <f>HYPERLINK("https://www.avito.ru/tula/predlozheniya_uslug?q=такси", "Открыть ↗")</f>
        <v/>
      </c>
      <c r="L77" s="44" t="inlineStr"/>
    </row>
    <row r="78" ht="20" customHeight="1">
      <c r="A78" s="322" t="n"/>
      <c r="B78" s="328" t="inlineStr">
        <is>
          <t>ИТОГО РАБОТЫ И ЛОГИСТИКА:</t>
        </is>
      </c>
      <c r="C78" s="322" t="n"/>
      <c r="D78" s="322" t="n"/>
      <c r="E78" s="322" t="n"/>
      <c r="F78" s="322" t="n"/>
      <c r="G78" s="333" t="n"/>
      <c r="H78" s="334" t="n"/>
      <c r="I78" s="331">
        <f>SUM(I58:I77)</f>
        <v/>
      </c>
      <c r="J78" s="322" t="n"/>
      <c r="K78" s="322" t="n"/>
      <c r="L78" s="322" t="n"/>
    </row>
    <row r="79" ht="20" customHeight="1">
      <c r="A79" s="322" t="n"/>
      <c r="B79" s="336" t="inlineStr">
        <is>
          <t>🏛 БЛОК 4: ЮРИДИЧЕСКИЕ РАСХОДЫ, ПОШЛИНЫ, ГАЗ, ЭНЕРГОСБЫТ И IT (10 ПОЗИЦИЙ)</t>
        </is>
      </c>
      <c r="C79" s="322" t="n"/>
      <c r="D79" s="322" t="n"/>
      <c r="E79" s="322" t="n"/>
      <c r="F79" s="322" t="n"/>
      <c r="G79" s="333" t="n"/>
      <c r="H79" s="334" t="n"/>
      <c r="I79" s="334" t="n"/>
      <c r="J79" s="322" t="n"/>
      <c r="K79" s="322" t="n"/>
      <c r="L79" s="322" t="n"/>
    </row>
    <row r="80" ht="20" customHeight="1">
      <c r="A80" s="64" t="n">
        <v>1</v>
      </c>
      <c r="B80" s="49" t="inlineStr">
        <is>
          <t>Юр. оформление</t>
        </is>
      </c>
      <c r="C80" s="49" t="inlineStr">
        <is>
          <t>Торги</t>
        </is>
      </c>
      <c r="D80" s="49" t="inlineStr">
        <is>
          <t>Выпуск квалифицированной ЭЦП (электронная цифровая подпись)</t>
        </is>
      </c>
      <c r="E80" s="49" t="inlineStr">
        <is>
          <t>ЭЦП-КОНТУР</t>
        </is>
      </c>
      <c r="F80" s="64" t="inlineStr">
        <is>
          <t>шт.</t>
        </is>
      </c>
      <c r="G80" s="326" t="n">
        <v>1</v>
      </c>
      <c r="H80" s="172" t="n">
        <v>7000</v>
      </c>
      <c r="I80" s="172">
        <f>G80*H80</f>
        <v/>
      </c>
      <c r="J80" s="49" t="inlineStr">
        <is>
          <t>УЦ / Контур</t>
        </is>
      </c>
      <c r="K80" s="175">
        <f>HYPERLINK("https://ca.kontur.ru/", "Открыть ↗")</f>
        <v/>
      </c>
      <c r="L80" s="49" t="inlineStr"/>
    </row>
    <row r="81" ht="22" customHeight="1">
      <c r="A81" s="62" t="n">
        <v>2</v>
      </c>
      <c r="B81" s="44" t="inlineStr">
        <is>
          <t>Юр. оформление</t>
        </is>
      </c>
      <c r="C81" s="44" t="inlineStr">
        <is>
          <t>Росреестр</t>
        </is>
      </c>
      <c r="D81" s="44" t="inlineStr">
        <is>
          <t>Государственная пошлина (регистрация перехода права собственности)</t>
        </is>
      </c>
      <c r="E81" s="44" t="inlineStr">
        <is>
          <t>ГОСПОШЛИНА-ПРАВО</t>
        </is>
      </c>
      <c r="F81" s="62" t="inlineStr">
        <is>
          <t>платеж</t>
        </is>
      </c>
      <c r="G81" s="327" t="n">
        <v>1</v>
      </c>
      <c r="H81" s="173" t="n">
        <v>5000</v>
      </c>
      <c r="I81" s="173">
        <f>G81*H81</f>
        <v/>
      </c>
      <c r="J81" s="44" t="inlineStr">
        <is>
          <t>Росреестр</t>
        </is>
      </c>
      <c r="K81" s="174">
        <f>HYPERLINK("https://rosreestr.gov.ru/", "Открыть ↗")</f>
        <v/>
      </c>
      <c r="L81" s="44" t="inlineStr"/>
    </row>
    <row r="82" ht="24" customHeight="1">
      <c r="A82" s="64" t="n">
        <v>10</v>
      </c>
      <c r="B82" s="49" t="inlineStr">
        <is>
          <t>IT / AI</t>
        </is>
      </c>
      <c r="C82" s="49" t="inlineStr">
        <is>
          <t>Инфраструктура</t>
        </is>
      </c>
      <c r="D82" s="49" t="inlineStr">
        <is>
          <t>Пополнение баланса OpenRouter (AI-ассистент Hermes) — транш 1</t>
        </is>
      </c>
      <c r="E82" s="49" t="inlineStr">
        <is>
          <t>OPENROUTER-TRANS-1</t>
        </is>
      </c>
      <c r="F82" s="64" t="inlineStr">
        <is>
          <t>платёж</t>
        </is>
      </c>
      <c r="G82" s="326" t="n">
        <v>1</v>
      </c>
      <c r="H82" s="172" t="n">
        <v>3000</v>
      </c>
      <c r="I82" s="172">
        <f>G82*H82</f>
        <v/>
      </c>
      <c r="J82" s="49" t="inlineStr">
        <is>
          <t>OpenRouter</t>
        </is>
      </c>
      <c r="K82" s="175">
        <f>HYPERLINK("https://openrouter.ai/", "Открыть ↗")</f>
        <v/>
      </c>
      <c r="L82" s="49" t="inlineStr"/>
    </row>
    <row r="83">
      <c r="A83" s="62" t="n">
        <v>12</v>
      </c>
      <c r="B83" s="44" t="inlineStr">
        <is>
          <t>Газ</t>
        </is>
      </c>
      <c r="C83" s="44" t="inlineStr">
        <is>
          <t>Безопасность</t>
        </is>
      </c>
      <c r="D83" s="44" t="inlineStr">
        <is>
          <t>Акт ВДПО — проверка дымохода и вентканала</t>
        </is>
      </c>
      <c r="E83" s="44" t="inlineStr">
        <is>
          <t>ВДПО-АКТ-ВЕНТ</t>
        </is>
      </c>
      <c r="F83" s="62" t="inlineStr">
        <is>
          <t>акт</t>
        </is>
      </c>
      <c r="G83" s="327" t="n">
        <v>1</v>
      </c>
      <c r="H83" s="173" t="n">
        <v>1500</v>
      </c>
      <c r="I83" s="173">
        <f>G83*H83</f>
        <v/>
      </c>
      <c r="J83" s="44" t="inlineStr">
        <is>
          <t>ВДПО / Газовая служба</t>
        </is>
      </c>
      <c r="K83" s="174">
        <f>HYPERLINK("https://vdpo71.ru/", "Открыть ↗")</f>
        <v/>
      </c>
      <c r="L83" s="44" t="inlineStr"/>
    </row>
    <row r="84">
      <c r="A84" s="64" t="n">
        <v>13</v>
      </c>
      <c r="B84" s="49" t="inlineStr">
        <is>
          <t>Газ</t>
        </is>
      </c>
      <c r="C84" s="49" t="inlineStr">
        <is>
          <t>Коммуналка</t>
        </is>
      </c>
      <c r="D84" s="49" t="inlineStr">
        <is>
          <t>Оплата квитанций Тулагоргаз (платежки/техобслуживание)</t>
        </is>
      </c>
      <c r="E84" s="49" t="inlineStr">
        <is>
          <t>ТУЛАГОРГАЗ-КВИТАНЦИЯ</t>
        </is>
      </c>
      <c r="F84" s="64" t="inlineStr">
        <is>
          <t>платеж</t>
        </is>
      </c>
      <c r="G84" s="326" t="n">
        <v>1</v>
      </c>
      <c r="H84" s="172" t="n">
        <v>800</v>
      </c>
      <c r="I84" s="172">
        <f>G84*H84</f>
        <v/>
      </c>
      <c r="J84" s="49" t="inlineStr">
        <is>
          <t>Тулагоргаз</t>
        </is>
      </c>
      <c r="K84" s="175">
        <f>HYPERLINK("https://tulagorgaz.ru/", "Открыть ↗")</f>
        <v/>
      </c>
      <c r="L84" s="49" t="inlineStr"/>
    </row>
    <row r="85">
      <c r="A85" s="62" t="n">
        <v>21</v>
      </c>
      <c r="B85" s="44" t="inlineStr">
        <is>
          <t>Энергосбыт</t>
        </is>
      </c>
      <c r="C85" s="44" t="inlineStr">
        <is>
          <t>Учёт</t>
        </is>
      </c>
      <c r="D85" s="44" t="inlineStr">
        <is>
          <t>Срочный выезд инспектора ТНС энерго Тула (снятие пломбы со старого счётчика)</t>
        </is>
      </c>
      <c r="E85" s="44" t="inlineStr">
        <is>
          <t>ТНС-ВЫЕЗД-ПЛОМБА</t>
        </is>
      </c>
      <c r="F85" s="62" t="inlineStr">
        <is>
          <t>услуга</t>
        </is>
      </c>
      <c r="G85" s="327" t="n">
        <v>1</v>
      </c>
      <c r="H85" s="173" t="n">
        <v>2500</v>
      </c>
      <c r="I85" s="173">
        <f>G85*H85</f>
        <v/>
      </c>
      <c r="J85" s="44" t="inlineStr">
        <is>
          <t>АО "ТНС энерго Тула"</t>
        </is>
      </c>
      <c r="K85" s="174">
        <f>HYPERLINK("https://tns-e.ru/", "Открыть ↗")</f>
        <v/>
      </c>
      <c r="L85" s="44" t="inlineStr"/>
    </row>
    <row r="86">
      <c r="A86" s="64" t="n">
        <v>31</v>
      </c>
      <c r="B86" s="49" t="inlineStr">
        <is>
          <t>IT / AI</t>
        </is>
      </c>
      <c r="C86" s="49" t="inlineStr">
        <is>
          <t>Инфраструктура</t>
        </is>
      </c>
      <c r="D86" s="49" t="inlineStr">
        <is>
          <t>Пополнение баланса OpenRouter (AI-ассистент Hermes) — транш 2</t>
        </is>
      </c>
      <c r="E86" s="49" t="inlineStr">
        <is>
          <t>OPENROUTER-TRANS-2</t>
        </is>
      </c>
      <c r="F86" s="64" t="inlineStr">
        <is>
          <t>платёж</t>
        </is>
      </c>
      <c r="G86" s="326" t="n">
        <v>1</v>
      </c>
      <c r="H86" s="172" t="n">
        <v>2500</v>
      </c>
      <c r="I86" s="172">
        <f>G86*H86</f>
        <v/>
      </c>
      <c r="J86" s="49" t="inlineStr">
        <is>
          <t>OpenRouter</t>
        </is>
      </c>
      <c r="K86" s="175">
        <f>HYPERLINK("https://openrouter.ai/", "Открыть ↗")</f>
        <v/>
      </c>
      <c r="L86" s="49" t="inlineStr"/>
    </row>
    <row r="87">
      <c r="A87" s="62" t="n">
        <v>33</v>
      </c>
      <c r="B87" s="44" t="inlineStr">
        <is>
          <t>Энергосбыт</t>
        </is>
      </c>
      <c r="C87" s="44" t="inlineStr">
        <is>
          <t>Учёт</t>
        </is>
      </c>
      <c r="D87" s="44" t="inlineStr">
        <is>
          <t>Дистанционная распломбировка старого электросчётчика (согласование)</t>
        </is>
      </c>
      <c r="E87" s="44" t="inlineStr">
        <is>
          <t>ТНС-РАСПЛОМБ-ДИСТ</t>
        </is>
      </c>
      <c r="F87" s="62" t="inlineStr">
        <is>
          <t>услуга</t>
        </is>
      </c>
      <c r="G87" s="327" t="n">
        <v>1</v>
      </c>
      <c r="H87" s="173" t="n">
        <v>2200</v>
      </c>
      <c r="I87" s="173">
        <f>G87*H87</f>
        <v/>
      </c>
      <c r="J87" s="44" t="inlineStr">
        <is>
          <t>ТНС энерго Тула / Энергосбыт</t>
        </is>
      </c>
      <c r="K87" s="174">
        <f>HYPERLINK("https://tns-e.ru/", "Открыть ↗")</f>
        <v/>
      </c>
      <c r="L87" s="44" t="inlineStr"/>
    </row>
    <row r="88">
      <c r="A88" s="64" t="n">
        <v>69</v>
      </c>
      <c r="B88" s="49" t="inlineStr">
        <is>
          <t>Газ</t>
        </is>
      </c>
      <c r="C88" s="49" t="inlineStr">
        <is>
          <t>Работы и материалы</t>
        </is>
      </c>
      <c r="D88" s="49" t="inlineStr">
        <is>
          <t>Работы газовщика: перенос / срезка / перемонтаж газовой трубы на кухне</t>
        </is>
      </c>
      <c r="E88" s="49" t="inlineStr">
        <is>
          <t>ГАЗ-ПЕРЕНОС-ТРУБА</t>
        </is>
      </c>
      <c r="F88" s="64" t="inlineStr">
        <is>
          <t>комплекс</t>
        </is>
      </c>
      <c r="G88" s="326" t="n">
        <v>1</v>
      </c>
      <c r="H88" s="172" t="n">
        <v>7300</v>
      </c>
      <c r="I88" s="172">
        <f>G88*H88</f>
        <v/>
      </c>
      <c r="J88" s="49" t="inlineStr">
        <is>
          <t>Газовщик (мастер / горгаз)</t>
        </is>
      </c>
      <c r="K88" s="175">
        <f>HYPERLINK("https://www.avito.ru/tula/predlozheniya_uslug?q=перенос+газовой+трубы", "Открыть ↗")</f>
        <v/>
      </c>
      <c r="L88" s="49" t="inlineStr"/>
    </row>
    <row r="89">
      <c r="A89" s="62" t="n">
        <v>72</v>
      </c>
      <c r="B89" s="44" t="inlineStr">
        <is>
          <t>Безопасность</t>
        </is>
      </c>
      <c r="C89" s="44" t="inlineStr">
        <is>
          <t>Доступ</t>
        </is>
      </c>
      <c r="D89" s="44" t="inlineStr">
        <is>
          <t>Ключи от домофона (дубликаты для мастеров и объекта)</t>
        </is>
      </c>
      <c r="E89" s="44" t="inlineStr">
        <is>
          <t>КЛЮЧИ-ДОМОФОН-3</t>
        </is>
      </c>
      <c r="F89" s="62" t="inlineStr">
        <is>
          <t>компл.</t>
        </is>
      </c>
      <c r="G89" s="327" t="n">
        <v>1</v>
      </c>
      <c r="H89" s="173" t="n">
        <v>500</v>
      </c>
      <c r="I89" s="173">
        <f>G89*H89</f>
        <v/>
      </c>
      <c r="J89" s="44" t="inlineStr">
        <is>
          <t>Изготовление ключей</t>
        </is>
      </c>
      <c r="K89" s="174">
        <f>HYPERLINK("https://www.avito.ru/tula/predlozheniya_uslug?q=%D0%B8%D0%B7%D0%B3%D0%BE%D1%82%D0%BE%D0%B2%D0%BB%D0%B5%D0%BD%D0%B8%D0%B5+%D0%BA%D0%BB%D1%8E%D1%87%D0%B5%D0%B9+%D0%B4%D0%BE%D0%BC%D0%BE%D1%84%D0%BE%D0%BD", "Открыть ↗")</f>
        <v/>
      </c>
      <c r="L89" s="44" t="inlineStr"/>
    </row>
    <row r="90">
      <c r="B90" s="328" t="inlineStr">
        <is>
          <t>ИТОГО ЮР. РАСХОДЫ, СЛУЖБЫ И IT:</t>
        </is>
      </c>
      <c r="I90" s="331">
        <f>SUM(I80:I89)</f>
        <v/>
      </c>
    </row>
    <row r="91">
      <c r="B91" s="170" t="inlineStr">
        <is>
          <t>ОБЩИЙ ИТОГО ФАКТ РАСХОДОВ (ДИНАМИЧЕСКИЙ):</t>
        </is>
      </c>
      <c r="I91" s="337">
        <f>SUM(I33, I56, I78, I90)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2026-08-19T07:26:20Z</dcterms:created>
  <dcterms:modified xsi:type="dcterms:W3CDTF">2026-10-08T21:00:04Z</dcterms:modified>
</cp:coreProperties>
</file>
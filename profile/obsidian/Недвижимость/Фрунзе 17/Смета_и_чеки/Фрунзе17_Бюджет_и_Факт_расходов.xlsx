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Экономика и Сводка" sheetId="1" state="visible" r:id="rId1"/>
    <sheet name="Факт расходов" sheetId="2" state="visible" r:id="rId2"/>
    <sheet name="План vs Рынок (Смета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₽&quot;"/>
    <numFmt numFmtId="165" formatCode="0.0%"/>
    <numFmt numFmtId="166" formatCode="#,##0.00 &quot;₽&quot;"/>
  </numFmts>
  <fonts count="19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FFFFFF"/>
      <sz val="10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F172A"/>
      <sz val="13"/>
    </font>
    <font>
      <name val="Segoe UI"/>
      <b val="1"/>
      <color rgb="0016A34A"/>
      <sz val="13"/>
    </font>
    <font>
      <name val="Segoe UI"/>
      <b val="1"/>
      <color rgb="000284C7"/>
      <sz val="12"/>
    </font>
    <font>
      <name val="Segoe UI"/>
      <i val="1"/>
      <color rgb="0064748B"/>
      <sz val="9"/>
    </font>
    <font>
      <name val="Segoe UI"/>
      <b val="1"/>
      <color rgb="00FFFFFF"/>
      <sz val="9"/>
    </font>
    <font>
      <name val="Segoe UI"/>
      <b val="1"/>
      <color rgb="00047857"/>
      <sz val="9"/>
    </font>
    <font>
      <name val="Segoe UI"/>
      <b val="1"/>
      <color rgb="000F172A"/>
      <sz val="9.5"/>
    </font>
    <font>
      <name val="Segoe UI"/>
      <b val="1"/>
      <color rgb="00D97706"/>
      <sz val="9"/>
    </font>
    <font>
      <name val="Segoe UI"/>
      <color rgb="0064748B"/>
      <sz val="9"/>
    </font>
    <font>
      <name val="Segoe UI"/>
      <b val="1"/>
      <color rgb="000284C7"/>
      <sz val="9"/>
    </font>
    <font>
      <name val="Segoe UI"/>
      <b val="1"/>
      <color rgb="000F172A"/>
      <sz val="11"/>
    </font>
    <font>
      <name val="Segoe UI"/>
      <b val="1"/>
      <color rgb="00047857"/>
      <sz val="12"/>
    </font>
    <font>
      <name val="Segoe UI"/>
      <b val="1"/>
      <color rgb="000284C7"/>
      <sz val="11"/>
    </font>
  </fonts>
  <fills count="8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  <fill>
      <patternFill patternType="solid">
        <fgColor rgb="00F0FDF4"/>
        <bgColor rgb="00F0FDF4"/>
      </patternFill>
    </fill>
    <fill>
      <patternFill patternType="solid">
        <fgColor rgb="00FFFFFF"/>
        <bgColor rgb="00FFFFFF"/>
      </patternFill>
    </fill>
  </fills>
  <borders count="1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0F172A"/>
      </bottom>
    </border>
    <border>
      <left/>
      <right/>
      <top style="thin">
        <color rgb="00CBD5E1"/>
      </top>
      <bottom/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  <border/>
    <border>
      <left style="thin">
        <color rgb="00334155"/>
      </left>
      <right style="thin">
        <color rgb="00334155"/>
      </right>
      <top style="medium">
        <color rgb="000F172A"/>
      </top>
      <bottom style="medium">
        <color rgb="000F172A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5" fillId="3" borderId="2" pivotButton="0" quotePrefix="0" xfId="0"/>
    <xf numFmtId="164" fontId="5" fillId="3" borderId="2" pivotButton="0" quotePrefix="0" xfId="0"/>
    <xf numFmtId="0" fontId="0" fillId="3" borderId="2" pivotButton="0" quotePrefix="0" xfId="0"/>
    <xf numFmtId="0" fontId="5" fillId="0" borderId="1" pivotButton="0" quotePrefix="0" xfId="0"/>
    <xf numFmtId="164" fontId="7" fillId="5" borderId="1" pivotButton="0" quotePrefix="0" xfId="0"/>
    <xf numFmtId="165" fontId="7" fillId="5" borderId="1" pivotButton="0" quotePrefix="0" xfId="0"/>
    <xf numFmtId="165" fontId="4" fillId="0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right" vertical="center"/>
    </xf>
    <xf numFmtId="164" fontId="5" fillId="3" borderId="2" applyAlignment="1" pivotButton="0" quotePrefix="0" xfId="0">
      <alignment horizontal="right" vertical="center"/>
    </xf>
    <xf numFmtId="165" fontId="5" fillId="3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right" vertical="center"/>
    </xf>
    <xf numFmtId="165" fontId="4" fillId="3" borderId="1" applyAlignment="1" pivotButton="0" quotePrefix="0" xfId="0">
      <alignment horizontal="center" vertical="center"/>
    </xf>
    <xf numFmtId="166" fontId="5" fillId="3" borderId="2" applyAlignment="1" pivotButton="0" quotePrefix="0" xfId="0">
      <alignment horizontal="right" vertical="center"/>
    </xf>
    <xf numFmtId="0" fontId="4" fillId="0" borderId="9" pivotButton="0" quotePrefix="0" xfId="0"/>
    <xf numFmtId="0" fontId="4" fillId="0" borderId="9" applyAlignment="1" pivotButton="0" quotePrefix="0" xfId="0">
      <alignment horizontal="right" vertical="center"/>
    </xf>
    <xf numFmtId="166" fontId="4" fillId="0" borderId="9" applyAlignment="1" pivotButton="0" quotePrefix="0" xfId="0">
      <alignment horizontal="right" vertical="center"/>
    </xf>
    <xf numFmtId="165" fontId="4" fillId="0" borderId="9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164" fontId="4" fillId="0" borderId="9" applyAlignment="1" pivotButton="0" quotePrefix="0" xfId="0">
      <alignment horizontal="right" vertical="center"/>
    </xf>
    <xf numFmtId="0" fontId="4" fillId="3" borderId="2" pivotButton="0" quotePrefix="0" xfId="0"/>
    <xf numFmtId="0" fontId="6" fillId="0" borderId="0" pivotButton="0" quotePrefix="0" xfId="0"/>
    <xf numFmtId="0" fontId="9" fillId="0" borderId="0" pivotButton="0" quotePrefix="0" xfId="0"/>
    <xf numFmtId="0" fontId="16" fillId="0" borderId="0" pivotButton="0" quotePrefix="0" xfId="0"/>
    <xf numFmtId="0" fontId="10" fillId="2" borderId="10" applyAlignment="1" pivotButton="0" quotePrefix="0" xfId="0">
      <alignment horizontal="left" vertical="center"/>
    </xf>
    <xf numFmtId="0" fontId="10" fillId="2" borderId="10" applyAlignment="1" pivotButton="0" quotePrefix="0" xfId="0">
      <alignment horizontal="right" vertical="center"/>
    </xf>
    <xf numFmtId="0" fontId="10" fillId="2" borderId="10" applyAlignment="1" pivotButton="0" quotePrefix="0" xfId="0">
      <alignment horizontal="center" vertical="center"/>
    </xf>
    <xf numFmtId="0" fontId="4" fillId="4" borderId="11" applyAlignment="1" pivotButton="0" quotePrefix="0" xfId="0">
      <alignment horizontal="left" vertical="center"/>
    </xf>
    <xf numFmtId="164" fontId="4" fillId="4" borderId="11" applyAlignment="1" pivotButton="0" quotePrefix="0" xfId="0">
      <alignment horizontal="right" vertical="center"/>
    </xf>
    <xf numFmtId="164" fontId="5" fillId="4" borderId="11" applyAlignment="1" pivotButton="0" quotePrefix="0" xfId="0">
      <alignment horizontal="right" vertical="center"/>
    </xf>
    <xf numFmtId="164" fontId="11" fillId="6" borderId="11" applyAlignment="1" pivotButton="0" quotePrefix="0" xfId="0">
      <alignment horizontal="right" vertical="center"/>
    </xf>
    <xf numFmtId="0" fontId="11" fillId="4" borderId="11" applyAlignment="1" pivotButton="0" quotePrefix="0" xfId="0">
      <alignment horizontal="center" vertical="center"/>
    </xf>
    <xf numFmtId="0" fontId="4" fillId="7" borderId="11" applyAlignment="1" pivotButton="0" quotePrefix="0" xfId="0">
      <alignment horizontal="left" vertical="center"/>
    </xf>
    <xf numFmtId="164" fontId="4" fillId="7" borderId="11" applyAlignment="1" pivotButton="0" quotePrefix="0" xfId="0">
      <alignment horizontal="right" vertical="center"/>
    </xf>
    <xf numFmtId="164" fontId="5" fillId="7" borderId="11" applyAlignment="1" pivotButton="0" quotePrefix="0" xfId="0">
      <alignment horizontal="right" vertical="center"/>
    </xf>
    <xf numFmtId="0" fontId="11" fillId="7" borderId="11" applyAlignment="1" pivotButton="0" quotePrefix="0" xfId="0">
      <alignment horizontal="center" vertical="center"/>
    </xf>
    <xf numFmtId="0" fontId="13" fillId="4" borderId="11" applyAlignment="1" pivotButton="0" quotePrefix="0" xfId="0">
      <alignment horizontal="center" vertical="center"/>
    </xf>
    <xf numFmtId="0" fontId="12" fillId="3" borderId="12" applyAlignment="1" pivotButton="0" quotePrefix="0" xfId="0">
      <alignment horizontal="left" vertical="center"/>
    </xf>
    <xf numFmtId="164" fontId="12" fillId="3" borderId="12" applyAlignment="1" pivotButton="0" quotePrefix="0" xfId="0">
      <alignment horizontal="right" vertical="center"/>
    </xf>
    <xf numFmtId="164" fontId="11" fillId="3" borderId="12" applyAlignment="1" pivotButton="0" quotePrefix="0" xfId="0">
      <alignment horizontal="right" vertical="center"/>
    </xf>
    <xf numFmtId="0" fontId="12" fillId="3" borderId="12" pivotButton="0" quotePrefix="0" xfId="0"/>
    <xf numFmtId="164" fontId="12" fillId="5" borderId="1" applyAlignment="1" pivotButton="0" quotePrefix="0" xfId="0">
      <alignment horizontal="right" vertical="center"/>
    </xf>
    <xf numFmtId="0" fontId="16" fillId="6" borderId="11" pivotButton="0" quotePrefix="0" xfId="0"/>
    <xf numFmtId="164" fontId="17" fillId="6" borderId="11" applyAlignment="1" pivotButton="0" quotePrefix="0" xfId="0">
      <alignment horizontal="right" vertical="center"/>
    </xf>
    <xf numFmtId="165" fontId="18" fillId="5" borderId="1" applyAlignment="1" pivotButton="0" quotePrefix="0" xfId="0">
      <alignment horizontal="right" vertical="center"/>
    </xf>
    <xf numFmtId="0" fontId="4" fillId="4" borderId="11" applyAlignment="1" pivotButton="0" quotePrefix="0" xfId="0">
      <alignment horizontal="center" vertical="center"/>
    </xf>
    <xf numFmtId="165" fontId="11" fillId="6" borderId="11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12" fillId="3" borderId="12" applyAlignment="1" pivotButton="0" quotePrefix="0" xfId="0">
      <alignment horizontal="right" vertical="center"/>
    </xf>
    <xf numFmtId="165" fontId="11" fillId="3" borderId="12" applyAlignment="1" pivotButton="0" quotePrefix="0" xfId="0">
      <alignment horizontal="center" vertical="center"/>
    </xf>
    <xf numFmtId="0" fontId="14" fillId="7" borderId="11" applyAlignment="1" pivotButton="0" quotePrefix="0" xfId="0">
      <alignment horizontal="center" vertical="center"/>
    </xf>
    <xf numFmtId="0" fontId="15" fillId="4" borderId="11" applyAlignment="1" pivotButton="0" quotePrefix="0" xfId="0">
      <alignment horizontal="center" vertical="center"/>
    </xf>
    <xf numFmtId="0" fontId="14" fillId="4" borderId="1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31" customWidth="1" min="2" max="2"/>
    <col width="34" customWidth="1" min="3" max="3"/>
    <col width="34" customWidth="1" min="4" max="4"/>
    <col width="30" customWidth="1" min="5" max="5"/>
    <col width="14" customWidth="1" min="6" max="6"/>
    <col width="40" customWidth="1" min="7" max="7"/>
    <col width="14" customWidth="1" min="8" max="8"/>
  </cols>
  <sheetData>
    <row r="1">
      <c r="A1" s="38" t="inlineStr">
        <is>
          <t>ИНВЕСТИЦИОННАЯ СВОДКА И ДАШБОРД ПРОЕКТА</t>
        </is>
      </c>
    </row>
    <row r="2">
      <c r="A2" s="39" t="inlineStr">
        <is>
          <t>Флиппинг 2-комн. квартиры: г. Тула, ул. Фрунзе 17, кв. 76 (43.2 м²)</t>
        </is>
      </c>
    </row>
    <row r="4">
      <c r="A4" s="3" t="inlineStr">
        <is>
          <t>Покупка объекта
3 900 000 ₽</t>
        </is>
      </c>
      <c r="B4" s="22" t="n"/>
      <c r="C4" s="3" t="inlineStr">
        <is>
          <t>Бюджет ремонта (план)
618 000 ₽</t>
        </is>
      </c>
      <c r="D4" s="22" t="n"/>
      <c r="E4" s="5" t="inlineStr">
        <is>
          <t>Целевая продажа
5 600 000 ₽</t>
        </is>
      </c>
      <c r="F4" s="22" t="n"/>
      <c r="G4" s="5" t="inlineStr">
        <is>
          <t>Плановая чистая прибыль
≈ 1 062 000 ₽</t>
        </is>
      </c>
      <c r="H4" s="22" t="n"/>
    </row>
    <row r="5">
      <c r="A5" s="23" t="n"/>
      <c r="B5" s="24" t="n"/>
      <c r="C5" s="23" t="n"/>
      <c r="D5" s="24" t="n"/>
      <c r="E5" s="23" t="n"/>
      <c r="F5" s="24" t="n"/>
      <c r="G5" s="23" t="n"/>
      <c r="H5" s="24" t="n"/>
    </row>
    <row r="8">
      <c r="A8" s="40" t="inlineStr">
        <is>
          <t>ФИНАНСОВЫЙ БАЛАНС И СРАВНЕНИЕ С РЫНКОМ</t>
        </is>
      </c>
    </row>
    <row r="10" ht="24" customHeight="1">
      <c r="A10" s="41" t="inlineStr">
        <is>
          <t>Статья бюджета / Показатель</t>
        </is>
      </c>
      <c r="B10" s="42" t="inlineStr">
        <is>
          <t>Рыночный ориентир (₽)</t>
        </is>
      </c>
      <c r="C10" s="42" t="inlineStr">
        <is>
          <t>Наш план / Факт (₽)</t>
        </is>
      </c>
      <c r="D10" s="42" t="inlineStr">
        <is>
          <t>Экономия за счёт оптимизации (₽)</t>
        </is>
      </c>
      <c r="E10" s="43" t="inlineStr">
        <is>
          <t>Статус</t>
        </is>
      </c>
    </row>
    <row r="11" ht="20" customHeight="1">
      <c r="A11" s="44" t="inlineStr">
        <is>
          <t>1. Стоимость покупки квартиры</t>
        </is>
      </c>
      <c r="B11" s="45" t="n">
        <v>3900000</v>
      </c>
      <c r="C11" s="46" t="n">
        <v>3900000</v>
      </c>
      <c r="D11" s="47">
        <f>B11-C11</f>
        <v/>
      </c>
      <c r="E11" s="48" t="inlineStr">
        <is>
          <t>Оплачено</t>
        </is>
      </c>
    </row>
    <row r="12" ht="20" customHeight="1">
      <c r="A12" s="49" t="inlineStr">
        <is>
          <t>2. Начальные расходы (ЭЦП, госпошлина, вскрытие)</t>
        </is>
      </c>
      <c r="B12" s="50" t="n">
        <v>20000</v>
      </c>
      <c r="C12" s="51">
        <f>'Факт расходов'!F22</f>
        <v/>
      </c>
      <c r="D12" s="47">
        <f>B12-C12</f>
        <v/>
      </c>
      <c r="E12" s="52" t="inlineStr">
        <is>
          <t>Оплачено</t>
        </is>
      </c>
    </row>
    <row r="13" ht="20" customHeight="1">
      <c r="A13" s="44" t="inlineStr">
        <is>
          <t>3. Смета ремонта и чистовой отделки</t>
        </is>
      </c>
      <c r="B13" s="45">
        <f>'План vs Рынок (Смета)'!D16</f>
        <v/>
      </c>
      <c r="C13" s="46">
        <f>'План vs Рынок (Смета)'!E16</f>
        <v/>
      </c>
      <c r="D13" s="47">
        <f>B13-C13</f>
        <v/>
      </c>
      <c r="E13" s="53" t="inlineStr">
        <is>
          <t>В процессе</t>
        </is>
      </c>
    </row>
    <row r="14" ht="20" customHeight="1">
      <c r="A14" s="49" t="inlineStr">
        <is>
          <t>4. Экономия на окнах ПВХ (сохранены)</t>
        </is>
      </c>
      <c r="B14" s="50" t="n">
        <v>120000</v>
      </c>
      <c r="C14" s="51" t="n">
        <v>0</v>
      </c>
      <c r="D14" s="47" t="n">
        <v>120000</v>
      </c>
      <c r="E14" s="52" t="inlineStr">
        <is>
          <t>Сэкономлено</t>
        </is>
      </c>
    </row>
    <row r="15" ht="20" customHeight="1">
      <c r="A15" s="44" t="inlineStr">
        <is>
          <t>5. Экономия на стояке канализации (сохранен)</t>
        </is>
      </c>
      <c r="B15" s="45" t="n">
        <v>15000</v>
      </c>
      <c r="C15" s="46" t="n">
        <v>0</v>
      </c>
      <c r="D15" s="47" t="n">
        <v>15000</v>
      </c>
      <c r="E15" s="48" t="inlineStr">
        <is>
          <t>Сэкономлено</t>
        </is>
      </c>
    </row>
    <row r="16" ht="20" customHeight="1">
      <c r="A16" s="49" t="inlineStr">
        <is>
          <t>6. Экономия на счётчике СОЛО (пломба 02.2024)</t>
        </is>
      </c>
      <c r="B16" s="50" t="n">
        <v>7000</v>
      </c>
      <c r="C16" s="51" t="n">
        <v>0</v>
      </c>
      <c r="D16" s="47" t="n">
        <v>7000</v>
      </c>
      <c r="E16" s="52" t="inlineStr">
        <is>
          <t>Сэкономлено</t>
        </is>
      </c>
    </row>
    <row r="18" ht="24" customHeight="1">
      <c r="A18" s="54" t="inlineStr">
        <is>
          <t>ВСЕГО ЗАТРАТ НА ПРОЕКТ (ПОКУПКА + РЕМОНТ):</t>
        </is>
      </c>
      <c r="B18" s="55">
        <f>B11+B12+B13</f>
        <v/>
      </c>
      <c r="C18" s="55">
        <f>C11+C12+C13</f>
        <v/>
      </c>
      <c r="D18" s="56">
        <f>D11+D12+D13+D14+D15+D16</f>
        <v/>
      </c>
      <c r="E18" s="57" t="n"/>
    </row>
    <row r="20" ht="22" customHeight="1">
      <c r="A20" s="15" t="inlineStr">
        <is>
          <t>Выручка от продажи (таргет):</t>
        </is>
      </c>
      <c r="B20" s="4" t="n"/>
      <c r="C20" s="58" t="n">
        <v>5600000</v>
      </c>
      <c r="D20" s="4" t="n"/>
      <c r="E20" s="4" t="n"/>
    </row>
    <row r="21" ht="24" customHeight="1">
      <c r="A21" s="59" t="inlineStr">
        <is>
          <t>ЧИСТАЯ ПРИБЫЛЬ ИНВЕСТОРА:</t>
        </is>
      </c>
      <c r="B21" s="4" t="n"/>
      <c r="C21" s="60">
        <f>C20-C18</f>
        <v/>
      </c>
      <c r="D21" s="4" t="n"/>
      <c r="E21" s="4" t="n"/>
    </row>
    <row r="22" ht="22" customHeight="1">
      <c r="A22" s="15" t="inlineStr">
        <is>
          <t>Рентабельность инвестиций (ROI на цикл):</t>
        </is>
      </c>
      <c r="B22" s="4" t="n"/>
      <c r="C22" s="61">
        <f>C21/C18</f>
        <v/>
      </c>
      <c r="D22" s="4" t="n"/>
      <c r="E22" s="4" t="n"/>
    </row>
  </sheetData>
  <mergeCells count="4">
    <mergeCell ref="C4:D5"/>
    <mergeCell ref="A4:B5"/>
    <mergeCell ref="G4:H5"/>
    <mergeCell ref="E4:F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4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1" customWidth="1" min="1" max="1"/>
    <col width="13" customWidth="1" min="2" max="2"/>
    <col width="24" customWidth="1" min="3" max="3"/>
    <col width="38" customWidth="1" min="4" max="4"/>
    <col width="20" customWidth="1" min="5" max="5"/>
    <col width="20" customWidth="1" min="6" max="6"/>
    <col width="15" customWidth="1" min="7" max="7"/>
    <col width="21" customWidth="1" min="8" max="8"/>
    <col width="26" customWidth="1" min="9" max="9"/>
    <col width="35" customWidth="1" min="10" max="10"/>
  </cols>
  <sheetData>
    <row r="1">
      <c r="A1" s="38" t="inlineStr">
        <is>
          <t>ЖУРНАЛ ФАКТИЧЕСКИХ РАСХОДОВ — ФРУНЗЕ 17</t>
        </is>
      </c>
    </row>
    <row r="2">
      <c r="A2" s="39" t="inlineStr">
        <is>
          <t>Объект: г. Тула, ул. Фрунзе 17, кв. 76 (2-комн., 43.2 м²) | Флиппинг</t>
        </is>
      </c>
    </row>
    <row r="4" ht="24" customHeight="1">
      <c r="A4" s="43" t="inlineStr">
        <is>
          <t>№</t>
        </is>
      </c>
      <c r="B4" s="43" t="inlineStr">
        <is>
          <t>Дата</t>
        </is>
      </c>
      <c r="C4" s="41" t="inlineStr">
        <is>
          <t>Категория</t>
        </is>
      </c>
      <c r="D4" s="41" t="inlineStr">
        <is>
          <t>Наименование расхода / Работы</t>
        </is>
      </c>
      <c r="E4" s="42" t="inlineStr">
        <is>
          <t>Рыночная цена (₽)</t>
        </is>
      </c>
      <c r="F4" s="42" t="inlineStr">
        <is>
          <t>Факт оплачено (₽)</t>
        </is>
      </c>
      <c r="G4" s="42" t="inlineStr">
        <is>
          <t>Экономия (₽)</t>
        </is>
      </c>
      <c r="H4" s="43" t="inlineStr">
        <is>
          <t>% Экономии</t>
        </is>
      </c>
      <c r="I4" s="41" t="inlineStr">
        <is>
          <t>Исполнитель / Поставщик</t>
        </is>
      </c>
      <c r="J4" s="41" t="inlineStr">
        <is>
          <t>Примечание / Чек</t>
        </is>
      </c>
    </row>
    <row r="5" ht="20" customHeight="1">
      <c r="A5" s="62" t="n">
        <v>1</v>
      </c>
      <c r="B5" s="62" t="inlineStr">
        <is>
          <t>18.08.2026</t>
        </is>
      </c>
      <c r="C5" s="44" t="inlineStr">
        <is>
          <t>Юр. оформление / Торги</t>
        </is>
      </c>
      <c r="D5" s="44" t="inlineStr">
        <is>
          <t>Выпуск ЭЦП (электронная цифровая подпись)</t>
        </is>
      </c>
      <c r="E5" s="45" t="n">
        <v>7000</v>
      </c>
      <c r="F5" s="46" t="n">
        <v>7000</v>
      </c>
      <c r="G5" s="47">
        <f>E5-F5</f>
        <v/>
      </c>
      <c r="H5" s="63">
        <f>IFERROR(G5/E5, 0)</f>
        <v/>
      </c>
      <c r="I5" s="44" t="inlineStr">
        <is>
          <t>УЦ / Контур</t>
        </is>
      </c>
      <c r="J5" s="44" t="inlineStr">
        <is>
          <t>Для участия в торгах и регистрации</t>
        </is>
      </c>
      <c r="K5" s="30" t="n"/>
      <c r="L5" s="30" t="n"/>
      <c r="M5" s="30" t="n"/>
      <c r="N5" s="30" t="n"/>
    </row>
    <row r="6" ht="20" customHeight="1">
      <c r="A6" s="64" t="n">
        <v>2</v>
      </c>
      <c r="B6" s="64" t="inlineStr">
        <is>
          <t>18.08.2026</t>
        </is>
      </c>
      <c r="C6" s="49" t="inlineStr">
        <is>
          <t>Юр. оформление / Торги</t>
        </is>
      </c>
      <c r="D6" s="49" t="inlineStr">
        <is>
          <t>Государственная пошлина (регистрация права)</t>
        </is>
      </c>
      <c r="E6" s="50" t="n">
        <v>5000</v>
      </c>
      <c r="F6" s="51" t="n">
        <v>5000</v>
      </c>
      <c r="G6" s="47">
        <f>E6-F6</f>
        <v/>
      </c>
      <c r="H6" s="63">
        <f>IFERROR(G6/E6, 0)</f>
        <v/>
      </c>
      <c r="I6" s="49" t="inlineStr">
        <is>
          <t>Росреестр</t>
        </is>
      </c>
      <c r="J6" s="49" t="inlineStr">
        <is>
          <t>Госпошлина за переход права</t>
        </is>
      </c>
      <c r="K6" s="30" t="n"/>
      <c r="L6" s="30" t="n"/>
      <c r="M6" s="30" t="n"/>
      <c r="N6" s="30" t="n"/>
    </row>
    <row r="7" ht="20" customHeight="1">
      <c r="A7" s="62" t="n">
        <v>3</v>
      </c>
      <c r="B7" s="62" t="inlineStr">
        <is>
          <t>18.08.2026</t>
        </is>
      </c>
      <c r="C7" s="44" t="inlineStr">
        <is>
          <t>Безопасность / Доступ</t>
        </is>
      </c>
      <c r="D7" s="44" t="inlineStr">
        <is>
          <t>Вскрытие старого замка и обеспечение доступа</t>
        </is>
      </c>
      <c r="E7" s="45" t="n">
        <v>8000</v>
      </c>
      <c r="F7" s="46" t="n">
        <v>8000</v>
      </c>
      <c r="G7" s="47">
        <f>E7-F7</f>
        <v/>
      </c>
      <c r="H7" s="63">
        <f>IFERROR(G7/E7, 0)</f>
        <v/>
      </c>
      <c r="I7" s="44" t="inlineStr">
        <is>
          <t>Служба вскрытия</t>
        </is>
      </c>
      <c r="J7" s="44" t="inlineStr">
        <is>
          <t>Аварийное открытие входной двери объекта</t>
        </is>
      </c>
      <c r="K7" s="30" t="n"/>
      <c r="L7" s="30" t="n"/>
      <c r="M7" s="30" t="n"/>
      <c r="N7" s="30" t="n"/>
    </row>
    <row r="8" ht="20" customHeight="1">
      <c r="A8" s="64" t="n">
        <v>4</v>
      </c>
      <c r="B8" s="64" t="inlineStr">
        <is>
          <t>22.08.2026</t>
        </is>
      </c>
      <c r="C8" s="49" t="inlineStr">
        <is>
          <t>Демонтаж и зачистка</t>
        </is>
      </c>
      <c r="D8" s="49" t="inlineStr">
        <is>
          <t>Заказ мусорного контейнера 8 м³</t>
        </is>
      </c>
      <c r="E8" s="50" t="n">
        <v>9000</v>
      </c>
      <c r="F8" s="51" t="n">
        <v>8500</v>
      </c>
      <c r="G8" s="47">
        <f>E8-F8</f>
        <v/>
      </c>
      <c r="H8" s="63">
        <f>IFERROR(G8/E8, 0)</f>
        <v/>
      </c>
      <c r="I8" s="49" t="inlineStr">
        <is>
          <t>Елена (вывоз мусора)</t>
        </is>
      </c>
      <c r="J8" s="49" t="inlineStr">
        <is>
          <t>Вывоз мебели, санузла, чугуна и строительного боя (скидка 500 ₽)</t>
        </is>
      </c>
      <c r="K8" s="30" t="n"/>
      <c r="L8" s="30" t="n"/>
      <c r="M8" s="30" t="n"/>
      <c r="N8" s="30" t="n"/>
    </row>
    <row r="9" ht="20" customHeight="1">
      <c r="A9" s="62" t="n">
        <v>5</v>
      </c>
      <c r="B9" s="62" t="inlineStr">
        <is>
          <t>22.08.2026</t>
        </is>
      </c>
      <c r="C9" s="44" t="inlineStr">
        <is>
          <t>Демонтаж и зачистка</t>
        </is>
      </c>
      <c r="D9" s="44" t="inlineStr">
        <is>
          <t>Аренда/помощь инструментом соседа</t>
        </is>
      </c>
      <c r="E9" s="45" t="n">
        <v>2500</v>
      </c>
      <c r="F9" s="46" t="n">
        <v>1000</v>
      </c>
      <c r="G9" s="47">
        <f>E9-F9</f>
        <v/>
      </c>
      <c r="H9" s="63">
        <f>IFERROR(G9/E9, 0)</f>
        <v/>
      </c>
      <c r="I9" s="44" t="inlineStr">
        <is>
          <t>Сосед по дому</t>
        </is>
      </c>
      <c r="J9" s="44" t="inlineStr">
        <is>
          <t>Перфоратор/монтировки/инструмент (экономия 1 500 ₽)</t>
        </is>
      </c>
      <c r="K9" s="30" t="n"/>
      <c r="L9" s="30" t="n"/>
      <c r="M9" s="30" t="n"/>
      <c r="N9" s="30" t="n"/>
    </row>
    <row r="10" ht="20" customHeight="1">
      <c r="A10" s="64" t="n">
        <v>6</v>
      </c>
      <c r="B10" s="64" t="inlineStr">
        <is>
          <t>22.08.2026</t>
        </is>
      </c>
      <c r="C10" s="49" t="inlineStr">
        <is>
          <t>Расходные материалы</t>
        </is>
      </c>
      <c r="D10" s="49" t="inlineStr">
        <is>
          <t>Мешки мусорные плотные, перчатки рабочие</t>
        </is>
      </c>
      <c r="E10" s="50" t="n">
        <v>500</v>
      </c>
      <c r="F10" s="51" t="n">
        <v>300</v>
      </c>
      <c r="G10" s="47">
        <f>E10-F10</f>
        <v/>
      </c>
      <c r="H10" s="63">
        <f>IFERROR(G10/E10, 0)</f>
        <v/>
      </c>
      <c r="I10" s="49" t="inlineStr">
        <is>
          <t>Хозмаг / Рынок</t>
        </is>
      </c>
      <c r="J10" s="49" t="inlineStr">
        <is>
          <t>Расходники для сбора и выноса строительного мусора</t>
        </is>
      </c>
      <c r="K10" s="30" t="n"/>
      <c r="L10" s="30" t="n"/>
      <c r="M10" s="30" t="n"/>
      <c r="N10" s="30" t="n"/>
    </row>
    <row r="11" ht="20" customHeight="1">
      <c r="A11" s="62" t="n">
        <v>7</v>
      </c>
      <c r="B11" s="62" t="inlineStr">
        <is>
          <t>22.08.2026</t>
        </is>
      </c>
      <c r="C11" s="44" t="inlineStr">
        <is>
          <t>Демонтаж и зачистка</t>
        </is>
      </c>
      <c r="D11" s="44" t="inlineStr">
        <is>
          <t>Оплата работы бригады (4 чел., 28 чел.-час, спуск с 5 этажа)</t>
        </is>
      </c>
      <c r="E11" s="45" t="n">
        <v>20000</v>
      </c>
      <c r="F11" s="46" t="n">
        <v>16000</v>
      </c>
      <c r="G11" s="47">
        <f>E11-F11</f>
        <v/>
      </c>
      <c r="H11" s="63">
        <f>IFERROR(G11/E11, 0)</f>
        <v/>
      </c>
      <c r="I11" s="44" t="inlineStr">
        <is>
          <t>Бригада разнорабочих</t>
        </is>
      </c>
      <c r="J11" s="44" t="inlineStr">
        <is>
          <t>4 чел., 28 ч.-час, экономия от рынка ~4 000 ₽</t>
        </is>
      </c>
      <c r="K11" s="30" t="n"/>
      <c r="L11" s="30" t="n"/>
      <c r="M11" s="30" t="n"/>
      <c r="N11" s="30" t="n"/>
    </row>
    <row r="12" ht="20" customHeight="1">
      <c r="A12" s="64" t="n">
        <v>8</v>
      </c>
      <c r="B12" s="64" t="inlineStr">
        <is>
          <t>23.08.2026</t>
        </is>
      </c>
      <c r="C12" s="49" t="inlineStr">
        <is>
          <t>Расходные материалы</t>
        </is>
      </c>
      <c r="D12" s="49" t="inlineStr">
        <is>
          <t>Мешки для пылесоса синт. 12л (5 шт) — Леруа/Лемана</t>
        </is>
      </c>
      <c r="E12" s="50" t="n">
        <v>717</v>
      </c>
      <c r="F12" s="51" t="n">
        <v>717</v>
      </c>
      <c r="G12" s="47">
        <f>E12-F12</f>
        <v/>
      </c>
      <c r="H12" s="63">
        <f>IFERROR(G12/E12, 0)</f>
        <v/>
      </c>
      <c r="I12" s="49" t="inlineStr">
        <is>
          <t>ООО Ле Монлид (Лемана ПРО)</t>
        </is>
      </c>
      <c r="J12" s="49" t="inlineStr">
        <is>
          <t>Чек 3831 от 23.08.2026 11:05</t>
        </is>
      </c>
      <c r="K12" s="30" t="n"/>
      <c r="L12" s="30" t="n"/>
      <c r="M12" s="30" t="n"/>
      <c r="N12" s="30" t="n"/>
    </row>
    <row r="13" ht="20" customHeight="1">
      <c r="A13" s="62" t="n">
        <v>9</v>
      </c>
      <c r="B13" s="62" t="inlineStr">
        <is>
          <t>23.08.2026</t>
        </is>
      </c>
      <c r="C13" s="44" t="inlineStr">
        <is>
          <t>Инструмент и расходники</t>
        </is>
      </c>
      <c r="D13" s="44" t="inlineStr">
        <is>
          <t>Лом-гвоздодер, мешки 15шт, лента, перчатки 6п, опрыскиватель</t>
        </is>
      </c>
      <c r="E13" s="45" t="n">
        <v>1830</v>
      </c>
      <c r="F13" s="46" t="n">
        <v>1830</v>
      </c>
      <c r="G13" s="47">
        <f>E13-F13</f>
        <v/>
      </c>
      <c r="H13" s="63">
        <f>IFERROR(G13/E13, 0)</f>
        <v/>
      </c>
      <c r="I13" s="44" t="inlineStr">
        <is>
          <t>ООО Ле Монлид (Лемана ПРО)</t>
        </is>
      </c>
      <c r="J13" s="44" t="inlineStr">
        <is>
          <t>Чек 3832 от 23.08.2026 11:07</t>
        </is>
      </c>
      <c r="K13" s="30" t="n"/>
      <c r="L13" s="30" t="n"/>
      <c r="M13" s="30" t="n"/>
      <c r="N13" s="30" t="n"/>
    </row>
    <row r="14" ht="20" customHeight="1">
      <c r="A14" s="64" t="n">
        <v>10</v>
      </c>
      <c r="B14" s="64" t="inlineStr">
        <is>
          <t>23.08.2026</t>
        </is>
      </c>
      <c r="C14" s="49" t="inlineStr">
        <is>
          <t>IT / AI-инфраструктура</t>
        </is>
      </c>
      <c r="D14" s="49" t="inlineStr">
        <is>
          <t>Пополнение баланса OpenRouter (AI-ассистент Hermes)</t>
        </is>
      </c>
      <c r="E14" s="50" t="n">
        <v>3000</v>
      </c>
      <c r="F14" s="51" t="n">
        <v>3000</v>
      </c>
      <c r="G14" s="47">
        <f>E14-F14</f>
        <v/>
      </c>
      <c r="H14" s="63">
        <f>IFERROR(G14/E14, 0)</f>
        <v/>
      </c>
      <c r="I14" s="49" t="inlineStr">
        <is>
          <t>OpenRouter</t>
        </is>
      </c>
      <c r="J14" s="49" t="inlineStr">
        <is>
          <t>Инфраструктура проектов и аналитики</t>
        </is>
      </c>
      <c r="K14" s="30" t="n"/>
      <c r="L14" s="30" t="n"/>
      <c r="M14" s="30" t="n"/>
      <c r="N14" s="30" t="n"/>
    </row>
    <row r="15" ht="20" customHeight="1">
      <c r="A15" s="62" t="n">
        <v>11</v>
      </c>
      <c r="B15" s="62" t="inlineStr">
        <is>
          <t>24.08.2026</t>
        </is>
      </c>
      <c r="C15" s="44" t="inlineStr">
        <is>
          <t>Сантехника / Инженерия</t>
        </is>
      </c>
      <c r="D15" s="44" t="inlineStr">
        <is>
          <t>Счётчик воды + кран на ввод (материалы)</t>
        </is>
      </c>
      <c r="E15" s="45" t="n">
        <v>2100</v>
      </c>
      <c r="F15" s="46" t="n">
        <v>2100</v>
      </c>
      <c r="G15" s="47">
        <f>E15-F15</f>
        <v/>
      </c>
      <c r="H15" s="63">
        <f>IFERROR(G15/E15, 0)</f>
        <v/>
      </c>
      <c r="I15" s="44" t="inlineStr">
        <is>
          <t>Вадим (сантехник УК)</t>
        </is>
      </c>
      <c r="J15" s="44" t="inlineStr">
        <is>
          <t>Покупка материалов для замены закисшей запорной арматуры и счётчика</t>
        </is>
      </c>
      <c r="K15" s="30" t="n"/>
      <c r="L15" s="30" t="n"/>
      <c r="M15" s="30" t="n"/>
      <c r="N15" s="30" t="n"/>
    </row>
    <row r="16" ht="20" customHeight="1">
      <c r="A16" s="64" t="n">
        <v>12</v>
      </c>
      <c r="B16" s="64" t="inlineStr">
        <is>
          <t>24.08.2026</t>
        </is>
      </c>
      <c r="C16" s="49" t="inlineStr">
        <is>
          <t>Газ / Дымоход</t>
        </is>
      </c>
      <c r="D16" s="49" t="inlineStr">
        <is>
          <t>Акт ВДПО — проверка дымохода и вентканала</t>
        </is>
      </c>
      <c r="E16" s="50" t="n">
        <v>1500</v>
      </c>
      <c r="F16" s="51" t="n">
        <v>1500</v>
      </c>
      <c r="G16" s="47">
        <f>E16-F16</f>
        <v/>
      </c>
      <c r="H16" s="63">
        <f>IFERROR(G16/E16, 0)</f>
        <v/>
      </c>
      <c r="I16" s="49" t="inlineStr">
        <is>
          <t>ВДПО / Газовая служба</t>
        </is>
      </c>
      <c r="J16" s="49" t="inlineStr">
        <is>
          <t>Обязательная проверка тяги для согласования газа при ремонте</t>
        </is>
      </c>
      <c r="K16" s="30" t="n"/>
      <c r="L16" s="30" t="n"/>
      <c r="M16" s="30" t="n"/>
      <c r="N16" s="30" t="n"/>
    </row>
    <row r="17" ht="20" customHeight="1">
      <c r="A17" s="62" t="n">
        <v>13</v>
      </c>
      <c r="B17" s="62" t="inlineStr">
        <is>
          <t>24.08.2026</t>
        </is>
      </c>
      <c r="C17" s="44" t="inlineStr">
        <is>
          <t>Газ / Дымоход</t>
        </is>
      </c>
      <c r="D17" s="44" t="inlineStr">
        <is>
          <t>Оплата квитанций Тулагоргаз (платежки)</t>
        </is>
      </c>
      <c r="E17" s="45" t="n">
        <v>800</v>
      </c>
      <c r="F17" s="46" t="n">
        <v>800</v>
      </c>
      <c r="G17" s="47">
        <f>E17-F17</f>
        <v/>
      </c>
      <c r="H17" s="63">
        <f>IFERROR(G17/E17, 0)</f>
        <v/>
      </c>
      <c r="I17" s="44" t="inlineStr">
        <is>
          <t>Тулагоргаз</t>
        </is>
      </c>
      <c r="J17" s="44" t="inlineStr">
        <is>
          <t>Оплата начислений / услуг газоснабжения</t>
        </is>
      </c>
      <c r="K17" s="30" t="n"/>
      <c r="L17" s="30" t="n"/>
      <c r="M17" s="30" t="n"/>
      <c r="N17" s="30" t="n"/>
    </row>
    <row r="18" ht="20" customHeight="1">
      <c r="A18" s="64" t="n">
        <v>14</v>
      </c>
      <c r="B18" s="64" t="inlineStr">
        <is>
          <t>26.08.2026</t>
        </is>
      </c>
      <c r="C18" s="49" t="inlineStr">
        <is>
          <t>Сантехника / Инженерия</t>
        </is>
      </c>
      <c r="D18" s="49" t="inlineStr">
        <is>
          <t>Покупка и установка счётчика и кранов (доплата)</t>
        </is>
      </c>
      <c r="E18" s="50" t="n">
        <v>2500</v>
      </c>
      <c r="F18" s="51" t="n">
        <v>2000</v>
      </c>
      <c r="G18" s="47">
        <f>E18-F18</f>
        <v/>
      </c>
      <c r="H18" s="63">
        <f>IFERROR(G18/E18, 0)</f>
        <v/>
      </c>
      <c r="I18" s="49" t="inlineStr">
        <is>
          <t>Вадим (сантехник УК)</t>
        </is>
      </c>
      <c r="J18" s="49" t="inlineStr">
        <is>
          <t>Доплата за покупку комплектующих и установку запорной арматуры/счётчика</t>
        </is>
      </c>
      <c r="K18" s="30" t="n"/>
      <c r="L18" s="30" t="n"/>
      <c r="M18" s="30" t="n"/>
      <c r="N18" s="30" t="n"/>
    </row>
    <row r="19" ht="20" customHeight="1">
      <c r="A19" s="62" t="n">
        <v>15</v>
      </c>
      <c r="B19" s="62" t="inlineStr">
        <is>
          <t>26.08.2026</t>
        </is>
      </c>
      <c r="C19" s="44" t="inlineStr">
        <is>
          <t>Двери и входная группа</t>
        </is>
      </c>
      <c r="D19" s="44" t="inlineStr">
        <is>
          <t>Покупка входной металлической двери с внутренней МДФ-панелью</t>
        </is>
      </c>
      <c r="E19" s="45" t="n">
        <v>22000</v>
      </c>
      <c r="F19" s="46" t="n">
        <v>16000</v>
      </c>
      <c r="G19" s="47">
        <f>E19-F19</f>
        <v/>
      </c>
      <c r="H19" s="63">
        <f>IFERROR(G19/E19, 0)</f>
        <v/>
      </c>
      <c r="I19" s="44" t="inlineStr">
        <is>
          <t>Владимир (двери)</t>
        </is>
      </c>
      <c r="J19" s="44" t="inlineStr">
        <is>
          <t>Входная дверь металл 1.5мм, МДФ светлый, замки Гардиан (выгода 6 000 ₽)</t>
        </is>
      </c>
      <c r="K19" s="30" t="n"/>
      <c r="L19" s="30" t="n"/>
      <c r="M19" s="30" t="n"/>
      <c r="N19" s="30" t="n"/>
    </row>
    <row r="20" ht="20" customHeight="1">
      <c r="A20" s="64" t="n">
        <v>16</v>
      </c>
      <c r="B20" s="64" t="inlineStr">
        <is>
          <t>26.08.2026</t>
        </is>
      </c>
      <c r="C20" s="49" t="inlineStr">
        <is>
          <t>Двери и входная группа</t>
        </is>
      </c>
      <c r="D20" s="49" t="inlineStr">
        <is>
          <t>Доставка входной двери на объект</t>
        </is>
      </c>
      <c r="E20" s="50" t="n">
        <v>2000</v>
      </c>
      <c r="F20" s="51" t="n">
        <v>1500</v>
      </c>
      <c r="G20" s="47">
        <f>E20-F20</f>
        <v/>
      </c>
      <c r="H20" s="63">
        <f>IFERROR(G20/E20, 0)</f>
        <v/>
      </c>
      <c r="I20" s="49" t="inlineStr">
        <is>
          <t>Владимир / Доставка</t>
        </is>
      </c>
      <c r="J20" s="49" t="inlineStr">
        <is>
          <t>Доставка двери на ул. Фрунзе 17</t>
        </is>
      </c>
      <c r="K20" s="30" t="n"/>
      <c r="L20" s="30" t="n"/>
      <c r="M20" s="30" t="n"/>
      <c r="N20" s="30" t="n"/>
    </row>
    <row r="21" ht="20" customHeight="1">
      <c r="A21" s="62" t="n">
        <v>17</v>
      </c>
      <c r="B21" s="62" t="inlineStr">
        <is>
          <t>26.08.2026</t>
        </is>
      </c>
      <c r="C21" s="44" t="inlineStr">
        <is>
          <t>Электрика / Материалы</t>
        </is>
      </c>
      <c r="D21" s="44" t="inlineStr">
        <is>
          <t>Черновые материалы электрики (без кабеля: щит, автоматы, подрозетники)</t>
        </is>
      </c>
      <c r="E21" s="45" t="n">
        <v>20000</v>
      </c>
      <c r="F21" s="46" t="n">
        <v>16500</v>
      </c>
      <c r="G21" s="47">
        <f>E21-F21</f>
        <v/>
      </c>
      <c r="H21" s="63">
        <f>IFERROR(G21/E21, 0)</f>
        <v/>
      </c>
      <c r="I21" s="44" t="inlineStr">
        <is>
          <t>Поставщик / Электрик</t>
        </is>
      </c>
      <c r="J21" s="44" t="inlineStr">
        <is>
          <t>Щит 18 мод, УЗО, дифавтомат, автоматы B16/B10, подрозетники, гофра, клипсы (без кабеля)</t>
        </is>
      </c>
      <c r="K21" s="30" t="n"/>
      <c r="L21" s="30" t="n"/>
      <c r="M21" s="30" t="n"/>
      <c r="N21" s="30" t="n"/>
    </row>
    <row r="22" ht="24" customHeight="1">
      <c r="A22" s="57" t="n"/>
      <c r="B22" s="57" t="n"/>
      <c r="C22" s="57" t="n"/>
      <c r="D22" s="65" t="inlineStr">
        <is>
          <t>ИТОГО РАСХОДОВ:</t>
        </is>
      </c>
      <c r="E22" s="55">
        <f>SUM(E5:E21)</f>
        <v/>
      </c>
      <c r="F22" s="55">
        <f>SUM(F5:F21)</f>
        <v/>
      </c>
      <c r="G22" s="55">
        <f>SUM(G5:G21)</f>
        <v/>
      </c>
      <c r="H22" s="66">
        <f>IFERROR(G22/E22, 0)</f>
        <v/>
      </c>
      <c r="I22" s="57" t="n"/>
      <c r="J22" s="57" t="n"/>
      <c r="K22" s="30" t="n"/>
      <c r="L22" s="30" t="n"/>
      <c r="M22" s="30" t="n"/>
      <c r="N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</row>
    <row r="30">
      <c r="A30" s="30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</row>
    <row r="31">
      <c r="A31" s="30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</row>
    <row r="32">
      <c r="A32" s="30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</row>
    <row r="33">
      <c r="A33" s="30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</row>
    <row r="34">
      <c r="A34" s="30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</row>
    <row r="35">
      <c r="A35" s="30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</row>
    <row r="36">
      <c r="A36" s="30" t="n"/>
      <c r="B36" s="30" t="n"/>
      <c r="C36" s="30" t="n"/>
      <c r="D36" s="30" t="n"/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</row>
    <row r="37">
      <c r="A37" s="30" t="n"/>
      <c r="B37" s="30" t="n"/>
      <c r="C37" s="30" t="n"/>
      <c r="D37" s="30" t="n"/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</row>
    <row r="38">
      <c r="A38" s="30" t="n"/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</row>
    <row r="39">
      <c r="A39" s="30" t="n"/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</row>
    <row r="40">
      <c r="A40" s="30" t="n"/>
      <c r="B40" s="30" t="n"/>
      <c r="C40" s="30" t="n"/>
      <c r="D40" s="30" t="n"/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</row>
    <row r="41">
      <c r="A41" s="30" t="n"/>
      <c r="B41" s="30" t="n"/>
      <c r="C41" s="30" t="n"/>
      <c r="D41" s="30" t="n"/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</row>
    <row r="42">
      <c r="A42" s="30" t="n"/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</row>
    <row r="43">
      <c r="A43" s="30" t="n"/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4" customWidth="1" min="1" max="1"/>
    <col width="44" customWidth="1" min="2" max="2"/>
    <col width="14" customWidth="1" min="3" max="3"/>
    <col width="17" customWidth="1" min="4" max="4"/>
    <col width="22" customWidth="1" min="5" max="5"/>
    <col width="22" customWidth="1" min="6" max="6"/>
    <col width="20" customWidth="1" min="7" max="7"/>
    <col width="42" customWidth="1" min="8" max="8"/>
  </cols>
  <sheetData>
    <row r="1">
      <c r="A1" s="38" t="inlineStr">
        <is>
          <t>СМЕТНЫЙ ПЛАН: РЫНОЧНАЯ СТОИМОСТЬ VS ЦЕЛЕВОЙ БЮДЖЕТ</t>
        </is>
      </c>
    </row>
    <row r="2">
      <c r="A2" s="39" t="inlineStr">
        <is>
          <t>Сравнение среднерыночных цен Тулы с нашей целевой стоимостью выполнения</t>
        </is>
      </c>
    </row>
    <row r="4" ht="24" customHeight="1">
      <c r="A4" s="43" t="inlineStr">
        <is>
          <t>№</t>
        </is>
      </c>
      <c r="B4" s="41" t="inlineStr">
        <is>
          <t>Этап / Раздел работ</t>
        </is>
      </c>
      <c r="C4" s="43" t="inlineStr">
        <is>
          <t>Объём / Ед.</t>
        </is>
      </c>
      <c r="D4" s="42" t="inlineStr">
        <is>
          <t>Рынок Тула (₽)</t>
        </is>
      </c>
      <c r="E4" s="42" t="inlineStr">
        <is>
          <t>Наш план / Цель (₽)</t>
        </is>
      </c>
      <c r="F4" s="42" t="inlineStr">
        <is>
          <t>Плановая выгода (₽)</t>
        </is>
      </c>
      <c r="G4" s="43" t="inlineStr">
        <is>
          <t>Статус выполнения</t>
        </is>
      </c>
      <c r="H4" s="41" t="inlineStr">
        <is>
          <t>Способ оптимизации ниже рынка</t>
        </is>
      </c>
    </row>
    <row r="5" ht="20" customHeight="1">
      <c r="A5" s="62" t="n">
        <v>1</v>
      </c>
      <c r="B5" s="44" t="inlineStr">
        <is>
          <t>1. Демонтаж, зачистка стен, вывоз мусора (8м³)</t>
        </is>
      </c>
      <c r="C5" s="62" t="inlineStr">
        <is>
          <t>43.2 м²</t>
        </is>
      </c>
      <c r="D5" s="45" t="n">
        <v>65000</v>
      </c>
      <c r="E5" s="46" t="n">
        <v>45000</v>
      </c>
      <c r="F5" s="47">
        <f>D5-E5</f>
        <v/>
      </c>
      <c r="G5" s="53" t="inlineStr">
        <is>
          <t>В работе</t>
        </is>
      </c>
      <c r="H5" s="44" t="inlineStr">
        <is>
          <t>Своими силами / прямые разнорабочие</t>
        </is>
      </c>
    </row>
    <row r="6" ht="20" customHeight="1">
      <c r="A6" s="64" t="n">
        <v>2</v>
      </c>
      <c r="B6" s="49" t="inlineStr">
        <is>
          <t>2. Входная дверь металлическая с МДФ + монтаж</t>
        </is>
      </c>
      <c r="C6" s="64" t="inlineStr">
        <is>
          <t>1 шт</t>
        </is>
      </c>
      <c r="D6" s="50" t="n">
        <v>35000</v>
      </c>
      <c r="E6" s="51" t="n">
        <v>25000</v>
      </c>
      <c r="F6" s="47">
        <f>D6-E6</f>
        <v/>
      </c>
      <c r="G6" s="67" t="inlineStr">
        <is>
          <t>План</t>
        </is>
      </c>
      <c r="H6" s="49" t="inlineStr">
        <is>
          <t>Оптовый поставщик в Туле</t>
        </is>
      </c>
    </row>
    <row r="7" ht="20" customHeight="1">
      <c r="A7" s="62" t="n">
        <v>3</v>
      </c>
      <c r="B7" s="44" t="inlineStr">
        <is>
          <t>3. Электрика ГОСТ ВВГнг-LS (32 точки + щит 18м)</t>
        </is>
      </c>
      <c r="C7" s="62" t="inlineStr">
        <is>
          <t>комплекс</t>
        </is>
      </c>
      <c r="D7" s="45" t="n">
        <v>100000</v>
      </c>
      <c r="E7" s="46" t="n">
        <v>75000</v>
      </c>
      <c r="F7" s="47">
        <f>D7-E7</f>
        <v/>
      </c>
      <c r="G7" s="68" t="inlineStr">
        <is>
          <t>ТЗ готово</t>
        </is>
      </c>
      <c r="H7" s="44" t="inlineStr">
        <is>
          <t>Трассировка по потолку без лишних штроб</t>
        </is>
      </c>
    </row>
    <row r="8" ht="20" customHeight="1">
      <c r="A8" s="64" t="n">
        <v>4</v>
      </c>
      <c r="B8" s="49" t="inlineStr">
        <is>
          <t>4. Сантехника (разводка PPR, инсталляция, ванна 150)</t>
        </is>
      </c>
      <c r="C8" s="64" t="inlineStr">
        <is>
          <t>комплекс</t>
        </is>
      </c>
      <c r="D8" s="50" t="n">
        <v>120000</v>
      </c>
      <c r="E8" s="51" t="n">
        <v>90000</v>
      </c>
      <c r="F8" s="47">
        <f>D8-E8</f>
        <v/>
      </c>
      <c r="G8" s="67" t="inlineStr">
        <is>
          <t>План</t>
        </is>
      </c>
      <c r="H8" s="49" t="inlineStr">
        <is>
          <t>Стояк уже пластик; прямая закупка сантехники</t>
        </is>
      </c>
    </row>
    <row r="9" ht="20" customHeight="1">
      <c r="A9" s="62" t="n">
        <v>5</v>
      </c>
      <c r="B9" s="44" t="inlineStr">
        <is>
          <t>5. Перепланировка гардеробной (зашивка + проём)</t>
        </is>
      </c>
      <c r="C9" s="62" t="inlineStr">
        <is>
          <t>комплекс</t>
        </is>
      </c>
      <c r="D9" s="45" t="n">
        <v>30000</v>
      </c>
      <c r="E9" s="46" t="n">
        <v>18000</v>
      </c>
      <c r="F9" s="47">
        <f>D9-E9</f>
        <v/>
      </c>
      <c r="G9" s="69" t="inlineStr">
        <is>
          <t>План</t>
        </is>
      </c>
      <c r="H9" s="44" t="inlineStr">
        <is>
          <t>ГКЛ по месту без мокрых процессов</t>
        </is>
      </c>
    </row>
    <row r="10" ht="20" customHeight="1">
      <c r="A10" s="64" t="n">
        <v>6</v>
      </c>
      <c r="B10" s="49" t="inlineStr">
        <is>
          <t>6. Черновая отделка (полы саморезы, штукатурка с/у)</t>
        </is>
      </c>
      <c r="C10" s="64" t="inlineStr">
        <is>
          <t>43.2 м²</t>
        </is>
      </c>
      <c r="D10" s="50" t="n">
        <v>95000</v>
      </c>
      <c r="E10" s="51" t="n">
        <v>70000</v>
      </c>
      <c r="F10" s="47">
        <f>D10-E10</f>
        <v/>
      </c>
      <c r="G10" s="67" t="inlineStr">
        <is>
          <t>План</t>
        </is>
      </c>
      <c r="H10" s="49" t="inlineStr">
        <is>
          <t>Без заливки стяжки (протяжка лаг)</t>
        </is>
      </c>
    </row>
    <row r="11" ht="20" customHeight="1">
      <c r="A11" s="62" t="n">
        <v>7</v>
      </c>
      <c r="B11" s="44" t="inlineStr">
        <is>
          <t>7. Чистовая отделка (обои, ламинат 33кл, плинтус)</t>
        </is>
      </c>
      <c r="C11" s="62" t="inlineStr">
        <is>
          <t>43.2 м²</t>
        </is>
      </c>
      <c r="D11" s="45" t="n">
        <v>140000</v>
      </c>
      <c r="E11" s="46" t="n">
        <v>110000</v>
      </c>
      <c r="F11" s="47">
        <f>D11-E11</f>
        <v/>
      </c>
      <c r="G11" s="69" t="inlineStr">
        <is>
          <t>План</t>
        </is>
      </c>
      <c r="H11" s="44" t="inlineStr">
        <is>
          <t>Светлый сканди-стандарт, единый контур</t>
        </is>
      </c>
    </row>
    <row r="12" ht="20" customHeight="1">
      <c r="A12" s="64" t="n">
        <v>8</v>
      </c>
      <c r="B12" s="49" t="inlineStr">
        <is>
          <t>8. Натяжные матовые потолки + споты (вся кв.)</t>
        </is>
      </c>
      <c r="C12" s="64" t="inlineStr">
        <is>
          <t>43.2 м²</t>
        </is>
      </c>
      <c r="D12" s="50" t="n">
        <v>45000</v>
      </c>
      <c r="E12" s="51" t="n">
        <v>35000</v>
      </c>
      <c r="F12" s="47">
        <f>D12-E12</f>
        <v/>
      </c>
      <c r="G12" s="67" t="inlineStr">
        <is>
          <t>План</t>
        </is>
      </c>
      <c r="H12" s="49" t="inlineStr">
        <is>
          <t>Прямой замер от бригады потолочников</t>
        </is>
      </c>
    </row>
    <row r="13" ht="20" customHeight="1">
      <c r="A13" s="62" t="n">
        <v>9</v>
      </c>
      <c r="B13" s="44" t="inlineStr">
        <is>
          <t>9. Межкомнатные двери (3 шт глухие + доборы)</t>
        </is>
      </c>
      <c r="C13" s="62" t="inlineStr">
        <is>
          <t>3 компл</t>
        </is>
      </c>
      <c r="D13" s="45" t="n">
        <v>50000</v>
      </c>
      <c r="E13" s="46" t="n">
        <v>38000</v>
      </c>
      <c r="F13" s="47">
        <f>D13-E13</f>
        <v/>
      </c>
      <c r="G13" s="69" t="inlineStr">
        <is>
          <t>План</t>
        </is>
      </c>
      <c r="H13" s="44" t="inlineStr">
        <is>
          <t>Светлые царговые полотна с магнитными замками</t>
        </is>
      </c>
    </row>
    <row r="14" ht="20" customHeight="1">
      <c r="A14" s="64" t="n">
        <v>10</v>
      </c>
      <c r="B14" s="49" t="inlineStr">
        <is>
          <t>10. Кухонный гарнитур + фартук + мойка/смеситель</t>
        </is>
      </c>
      <c r="C14" s="64" t="inlineStr">
        <is>
          <t>1 компл</t>
        </is>
      </c>
      <c r="D14" s="50" t="n">
        <v>95000</v>
      </c>
      <c r="E14" s="51" t="n">
        <v>75000</v>
      </c>
      <c r="F14" s="47">
        <f>D14-E14</f>
        <v/>
      </c>
      <c r="G14" s="67" t="inlineStr">
        <is>
          <t>План</t>
        </is>
      </c>
      <c r="H14" s="49" t="inlineStr">
        <is>
          <t>Модульная кухня с интеграцией колонки Mora</t>
        </is>
      </c>
    </row>
    <row r="15" ht="20" customHeight="1">
      <c r="A15" s="62" t="n">
        <v>11</v>
      </c>
      <c r="B15" s="44" t="inlineStr">
        <is>
          <t>11. Стейджинг, освещение, декор, клининг</t>
        </is>
      </c>
      <c r="C15" s="62" t="inlineStr">
        <is>
          <t>комплекс</t>
        </is>
      </c>
      <c r="D15" s="45" t="n">
        <v>50000</v>
      </c>
      <c r="E15" s="46" t="n">
        <v>40000</v>
      </c>
      <c r="F15" s="47">
        <f>D15-E15</f>
        <v/>
      </c>
      <c r="G15" s="69" t="inlineStr">
        <is>
          <t>План</t>
        </is>
      </c>
      <c r="H15" s="44" t="inlineStr">
        <is>
          <t>Минималистичный интерьерный декор</t>
        </is>
      </c>
    </row>
    <row r="16" ht="24" customHeight="1">
      <c r="A16" s="57" t="n"/>
      <c r="B16" s="65" t="inlineStr">
        <is>
          <t>ИТОГО СМЕТА РЕМОНТА:</t>
        </is>
      </c>
      <c r="C16" s="57" t="n"/>
      <c r="D16" s="55">
        <f>SUM(D5:D15)</f>
        <v/>
      </c>
      <c r="E16" s="55">
        <f>SUM(E5:E15)</f>
        <v/>
      </c>
      <c r="F16" s="56">
        <f>SUM(F5:F15)</f>
        <v/>
      </c>
      <c r="G16" s="57" t="n"/>
      <c r="H16" s="5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2026-08-19T07:26:20Z</dcterms:created>
  <dcterms:modified xsi:type="dcterms:W3CDTF">2026-08-26T17:59:52Z</dcterms:modified>
</cp:coreProperties>
</file>
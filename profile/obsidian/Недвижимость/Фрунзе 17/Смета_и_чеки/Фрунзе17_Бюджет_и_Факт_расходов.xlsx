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#,##0.00 &quot;₽&quot;"/>
    <numFmt numFmtId="167" formatCode="+0.0%"/>
  </numFmts>
  <fonts count="2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28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</borders>
  <cellStyleXfs count="1">
    <xf numFmtId="0" fontId="0" fillId="0" borderId="0"/>
  </cellStyleXfs>
  <cellXfs count="1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 outlineLevelCol="0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7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9" t="n"/>
      <c r="C5" s="118">
        <f>'План vs Рынок (Смета)'!E16</f>
        <v/>
      </c>
      <c r="D5" s="118">
        <f>'Факт расходов'!F32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  <c r="B8" s="122" t="n"/>
      <c r="C8" s="122" t="n"/>
      <c r="D8" s="122" t="n"/>
      <c r="E8" s="122" t="n"/>
      <c r="F8" s="122" t="n"/>
      <c r="G8" s="122" t="n"/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4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49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расходов'!C5:C31, "*Юр.*", 'Факт расходов'!F5:F31)+SUMIF('Факт расходов'!C5:C31, "*Безопасность*", 'Факт расходов'!F5:F31)+SUMIF('Факт расходов'!C5:C31, "*IT*", 'Факт расходов'!F5:F31)+SUMIF('Факт расходов'!C5:C31, "*Электроэнергия*", 'Факт расходов'!F5:F31)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44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49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44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12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44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49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44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49" t="n"/>
    </row>
    <row r="21" ht="24" customHeight="1">
      <c r="A21" s="160" t="inlineStr">
        <is>
          <t>2. ОПЕРАЦИОННЫЙ ТРЕКЕР БЮДЖЕТА РЕМОНТА (ПЛАН VS ФАКТ VS ОСТАТОК)</t>
        </is>
      </c>
      <c r="B21" s="122" t="n"/>
      <c r="C21" s="122" t="n"/>
      <c r="D21" s="122" t="n"/>
      <c r="E21" s="122" t="n"/>
      <c r="F21" s="122" t="n"/>
      <c r="G21" s="122" t="n"/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расходов'!C5:C31, "*Демонтаж*", 'Факт расходов'!F5:F31)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расходов'!C5:C31, "*Двери*", 'Факт расходов'!F5:F31)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расходов'!C5:C31, "*Электрика*", 'Факт расходов'!F5:F31)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расходов'!C5:C31, "*Сантехника*", 'Факт расходов'!F5:F31)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расходов'!C5:C31, "*Газ*", 'Факт расходов'!F5:F31)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расходов'!C5:C31, "*Черновая*", 'Факт расходов'!F5:F31)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 t="n">
        <v>0</v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расходов'!C5:C31, "*Инструмент*", 'Факт расходов'!F5:F31)+SUMIF('Факт расходов'!C5:C31, "*Расходные*", 'Факт расходов'!F5:F31)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расходов'!C5:C31, "*хозмаг*", 'Факт расходов'!F5:F31)+SUMIF('Факт расходов'!C5:C31, "*Хоз.*", 'Факт расходов'!F5:F31)+SUMIF('Факт расходов'!C5:C31, "*Оснащение*", 'Факт расходов'!F5:F31)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  <c r="B40" s="122" t="n"/>
      <c r="C40" s="122" t="n"/>
      <c r="D40" s="122" t="n"/>
      <c r="E40" s="122" t="n"/>
      <c r="F40" s="122" t="n"/>
      <c r="G40" s="122" t="n"/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4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49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44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49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расходов'!E32</f>
        <v/>
      </c>
      <c r="C45" s="45">
        <f>'Факт расходов'!F32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44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12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4" customHeight="1">
      <c r="A32" s="94" t="n"/>
      <c r="B32" s="94" t="n"/>
      <c r="C32" s="54" t="n"/>
      <c r="D32" s="65" t="inlineStr">
        <is>
          <t>ИТОГО РАСХОДОВ:</t>
        </is>
      </c>
      <c r="E32" s="55">
        <f>SUM(E5:E31)</f>
        <v/>
      </c>
      <c r="F32" s="55">
        <f>SUM(F5:F31)</f>
        <v/>
      </c>
      <c r="G32" s="55">
        <f>SUM(G5:G31)</f>
        <v/>
      </c>
      <c r="H32" s="104">
        <f>IFERROR(G32/E32, 0)</f>
        <v/>
      </c>
      <c r="I32" s="54" t="n"/>
      <c r="J32" s="54" t="n"/>
      <c r="K32" s="30" t="n"/>
      <c r="L32" s="30" t="n"/>
      <c r="M32" s="30" t="n"/>
      <c r="N32" s="30" t="n"/>
      <c r="O32" s="14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14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14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14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  <row r="45">
      <c r="A45" s="140" t="n"/>
      <c r="B45" s="140" t="n"/>
      <c r="C45" s="140" t="n"/>
      <c r="D45" s="140" t="n"/>
      <c r="E45" s="140" t="n"/>
      <c r="F45" s="140" t="n"/>
      <c r="G45" s="140" t="n"/>
      <c r="H45" s="140" t="n"/>
      <c r="I45" s="140" t="n"/>
      <c r="J45" s="140" t="n"/>
      <c r="K45" s="140" t="n"/>
      <c r="L45" s="140" t="n"/>
      <c r="M45" s="140" t="n"/>
      <c r="N45" s="140" t="n"/>
    </row>
    <row r="46">
      <c r="A46" s="140" t="n"/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</row>
    <row r="47">
      <c r="A47" s="140" t="n"/>
      <c r="B47" s="140" t="n"/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0" t="n"/>
      <c r="L47" s="140" t="n"/>
      <c r="M47" s="140" t="n"/>
      <c r="N47" s="140" t="n"/>
    </row>
    <row r="48">
      <c r="A48" s="140" t="n"/>
      <c r="B48" s="140" t="n"/>
      <c r="C48" s="140" t="n"/>
      <c r="D48" s="140" t="n"/>
      <c r="E48" s="140" t="n"/>
      <c r="F48" s="140" t="n"/>
      <c r="G48" s="140" t="n"/>
      <c r="H48" s="140" t="n"/>
      <c r="I48" s="140" t="n"/>
      <c r="J48" s="140" t="n"/>
      <c r="K48" s="140" t="n"/>
      <c r="L48" s="140" t="n"/>
      <c r="M48" s="140" t="n"/>
      <c r="N48" s="140" t="n"/>
    </row>
    <row r="49">
      <c r="A49" s="140" t="n"/>
      <c r="B49" s="140" t="n"/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</row>
    <row r="50">
      <c r="A50" s="140" t="n"/>
      <c r="B50" s="140" t="n"/>
      <c r="C50" s="140" t="n"/>
      <c r="D50" s="140" t="n"/>
      <c r="E50" s="140" t="n"/>
      <c r="F50" s="140" t="n"/>
      <c r="G50" s="140" t="n"/>
      <c r="H50" s="140" t="n"/>
      <c r="I50" s="140" t="n"/>
      <c r="J50" s="140" t="n"/>
      <c r="K50" s="140" t="n"/>
      <c r="L50" s="140" t="n"/>
      <c r="M50" s="140" t="n"/>
      <c r="N50" s="140" t="n"/>
    </row>
    <row r="51">
      <c r="A51" s="140" t="n"/>
      <c r="B51" s="140" t="n"/>
      <c r="C51" s="140" t="n"/>
      <c r="D51" s="140" t="n"/>
      <c r="E51" s="140" t="n"/>
      <c r="F51" s="140" t="n"/>
      <c r="G51" s="140" t="n"/>
      <c r="H51" s="140" t="n"/>
      <c r="I51" s="140" t="n"/>
      <c r="J51" s="140" t="n"/>
      <c r="K51" s="140" t="n"/>
      <c r="L51" s="140" t="n"/>
      <c r="M51" s="140" t="n"/>
      <c r="N51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2026-08-30T18:54:58Z</dcterms:modified>
</cp:coreProperties>
</file>
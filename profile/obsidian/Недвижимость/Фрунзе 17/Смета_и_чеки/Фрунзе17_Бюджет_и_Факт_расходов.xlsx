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₽&quot;"/>
    <numFmt numFmtId="165" formatCode="0.0%"/>
    <numFmt numFmtId="166" formatCode="#,##0.00 &quot;₽&quot;"/>
  </numFmts>
  <fonts count="9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1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31" customWidth="1" min="2" max="2"/>
    <col width="34" customWidth="1" min="3" max="3"/>
    <col width="34" customWidth="1" min="4" max="4"/>
    <col width="30" customWidth="1" min="5" max="5"/>
    <col width="14" customWidth="1" min="6" max="6"/>
    <col width="40" customWidth="1" min="7" max="7"/>
    <col width="14" customWidth="1" min="8" max="8"/>
  </cols>
  <sheetData>
    <row r="1">
      <c r="A1" s="1" t="inlineStr">
        <is>
          <t>ИНВЕСТИЦИОННАЯ СВОДКА И ДАШБОРД ПРОЕКТА</t>
        </is>
      </c>
    </row>
    <row r="2">
      <c r="A2" s="2" t="inlineStr">
        <is>
          <t>Флиппинг 2-комн. квартиры: г. Тула, ул. Фрунзе 17, кв. 76 (43.2 м²)</t>
        </is>
      </c>
    </row>
    <row r="4">
      <c r="A4" s="3" t="inlineStr">
        <is>
          <t>Покупка объекта
3 900 000 ₽</t>
        </is>
      </c>
      <c r="B4" s="22" t="n"/>
      <c r="C4" s="3" t="inlineStr">
        <is>
          <t>Бюджет ремонта (план)
618 000 ₽</t>
        </is>
      </c>
      <c r="D4" s="22" t="n"/>
      <c r="E4" s="5" t="inlineStr">
        <is>
          <t>Целевая продажа
5 600 000 ₽</t>
        </is>
      </c>
      <c r="F4" s="22" t="n"/>
      <c r="G4" s="5" t="inlineStr">
        <is>
          <t>Плановая чистая прибыль
≈ 1 062 000 ₽</t>
        </is>
      </c>
      <c r="H4" s="22" t="n"/>
    </row>
    <row r="5">
      <c r="A5" s="23" t="n"/>
      <c r="B5" s="24" t="n"/>
      <c r="C5" s="23" t="n"/>
      <c r="D5" s="24" t="n"/>
      <c r="E5" s="23" t="n"/>
      <c r="F5" s="24" t="n"/>
      <c r="G5" s="23" t="n"/>
      <c r="H5" s="24" t="n"/>
    </row>
    <row r="8">
      <c r="A8" s="6" t="inlineStr">
        <is>
          <t>ФИНАНСОВЫЙ БАЛАНС И СРАВНЕНИЕ С РЫНКОМ</t>
        </is>
      </c>
    </row>
    <row r="10">
      <c r="A10" s="7" t="inlineStr">
        <is>
          <t>Статья бюджета / Показатель</t>
        </is>
      </c>
      <c r="B10" s="7" t="inlineStr">
        <is>
          <t>Рыночный ориентир (₽)</t>
        </is>
      </c>
      <c r="C10" s="7" t="inlineStr">
        <is>
          <t>Наш план / Факт (₽)</t>
        </is>
      </c>
      <c r="D10" s="7" t="inlineStr">
        <is>
          <t>Экономия за счёт оптимизации (₽)</t>
        </is>
      </c>
      <c r="E10" s="7" t="inlineStr">
        <is>
          <t>Статус</t>
        </is>
      </c>
    </row>
    <row r="11">
      <c r="A11" s="8" t="inlineStr">
        <is>
          <t>1. Стоимость покупки квартиры</t>
        </is>
      </c>
      <c r="B11" s="9" t="n">
        <v>3900000</v>
      </c>
      <c r="C11" s="9" t="n">
        <v>3900000</v>
      </c>
      <c r="D11" s="10">
        <f>B11-C11</f>
        <v/>
      </c>
      <c r="E11" s="11" t="inlineStr">
        <is>
          <t>Оплачено</t>
        </is>
      </c>
    </row>
    <row r="12">
      <c r="A12" s="8" t="inlineStr">
        <is>
          <t>2. Начальные расходы (ЭЦП, госпошлина, вскрытие)</t>
        </is>
      </c>
      <c r="B12" s="9" t="n">
        <v>20000</v>
      </c>
      <c r="C12" s="10">
        <f>'Факт расходов'!F18</f>
        <v/>
      </c>
      <c r="D12" s="10">
        <f>B12-C12</f>
        <v/>
      </c>
      <c r="E12" s="11" t="inlineStr">
        <is>
          <t>Оплачено</t>
        </is>
      </c>
    </row>
    <row r="13">
      <c r="A13" s="8" t="inlineStr">
        <is>
          <t>3. Смета ремонта и чистовой отделки</t>
        </is>
      </c>
      <c r="B13" s="10">
        <f>'План vs Рынок (Смета)'!D16</f>
        <v/>
      </c>
      <c r="C13" s="10">
        <f>'План vs Рынок (Смета)'!E16</f>
        <v/>
      </c>
      <c r="D13" s="10">
        <f>B13-C13</f>
        <v/>
      </c>
      <c r="E13" s="11" t="inlineStr">
        <is>
          <t>В процессе</t>
        </is>
      </c>
    </row>
    <row r="14">
      <c r="A14" s="8" t="inlineStr">
        <is>
          <t>4. Экономия на окнах ПВХ (сохранены)</t>
        </is>
      </c>
      <c r="B14" s="9" t="n">
        <v>120000</v>
      </c>
      <c r="C14" s="9" t="n">
        <v>0</v>
      </c>
      <c r="D14" s="9" t="n">
        <v>120000</v>
      </c>
      <c r="E14" s="11" t="inlineStr">
        <is>
          <t>Сэкономлено</t>
        </is>
      </c>
    </row>
    <row r="15">
      <c r="A15" s="8" t="inlineStr">
        <is>
          <t>5. Экономия на стояке канализации (сохранен)</t>
        </is>
      </c>
      <c r="B15" s="9" t="n">
        <v>15000</v>
      </c>
      <c r="C15" s="9" t="n">
        <v>0</v>
      </c>
      <c r="D15" s="9" t="n">
        <v>15000</v>
      </c>
      <c r="E15" s="11" t="inlineStr">
        <is>
          <t>Сэкономлено</t>
        </is>
      </c>
    </row>
    <row r="16">
      <c r="A16" s="8" t="inlineStr">
        <is>
          <t>6. Экономия на счётчике СОЛО (пломба 02.2024)</t>
        </is>
      </c>
      <c r="B16" s="9" t="n">
        <v>7000</v>
      </c>
      <c r="C16" s="9" t="n">
        <v>0</v>
      </c>
      <c r="D16" s="9" t="n">
        <v>7000</v>
      </c>
      <c r="E16" s="11" t="inlineStr">
        <is>
          <t>Сэкономлено</t>
        </is>
      </c>
    </row>
    <row r="18">
      <c r="A18" s="12" t="inlineStr">
        <is>
          <t>ВСЕГО ЗАТРАТ НА ПРОЕКТ (ПОКУПКА + РЕМОНТ):</t>
        </is>
      </c>
      <c r="B18" s="13">
        <f>B11+B12+B13</f>
        <v/>
      </c>
      <c r="C18" s="13">
        <f>C11+C12+C13</f>
        <v/>
      </c>
      <c r="D18" s="13">
        <f>D11+D12+D13+D14+D15+D16</f>
        <v/>
      </c>
      <c r="E18" s="14" t="n"/>
    </row>
    <row r="20">
      <c r="A20" s="15" t="inlineStr">
        <is>
          <t>Выручка от продажи (таргет):</t>
        </is>
      </c>
      <c r="B20" s="4" t="n"/>
      <c r="C20" s="16" t="n">
        <v>5600000</v>
      </c>
      <c r="D20" s="4" t="n"/>
      <c r="E20" s="4" t="n"/>
    </row>
    <row r="21">
      <c r="A21" s="15" t="inlineStr">
        <is>
          <t>ЧИСТАЯ ПРИБЫЛЬ ИНВЕСТОРА:</t>
        </is>
      </c>
      <c r="B21" s="4" t="n"/>
      <c r="C21" s="16">
        <f>C20-C18</f>
        <v/>
      </c>
      <c r="D21" s="4" t="n"/>
      <c r="E21" s="4" t="n"/>
    </row>
    <row r="22">
      <c r="A22" s="15" t="inlineStr">
        <is>
          <t>Рентабельность инвестиций (ROI на цикл):</t>
        </is>
      </c>
      <c r="B22" s="4" t="n"/>
      <c r="C22" s="17">
        <f>C21/C18</f>
        <v/>
      </c>
      <c r="D22" s="4" t="n"/>
      <c r="E22" s="4" t="n"/>
    </row>
  </sheetData>
  <mergeCells count="4">
    <mergeCell ref="C4:D5"/>
    <mergeCell ref="A4:B5"/>
    <mergeCell ref="G4:H5"/>
    <mergeCell ref="E4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13" customWidth="1" min="2" max="2"/>
    <col width="24" customWidth="1" min="3" max="3"/>
    <col width="38" customWidth="1" min="4" max="4"/>
    <col width="20" customWidth="1" min="5" max="5"/>
    <col width="20" customWidth="1" min="6" max="6"/>
    <col width="15" customWidth="1" min="7" max="7"/>
    <col width="21" customWidth="1" min="8" max="8"/>
    <col width="26" customWidth="1" min="9" max="9"/>
    <col width="35" customWidth="1" min="10" max="10"/>
  </cols>
  <sheetData>
    <row r="1">
      <c r="A1" s="1" t="inlineStr">
        <is>
          <t>ЖУРНАЛ ФАКТИЧЕСКИХ РАСХОДОВ — ФРУНЗЕ 17</t>
        </is>
      </c>
    </row>
    <row r="2">
      <c r="A2" s="2" t="inlineStr">
        <is>
          <t>Объект: г. Тула, ул. Фрунзе 17, кв. 76 (2-комн., 43.2 м²) | Флиппинг</t>
        </is>
      </c>
    </row>
    <row r="4">
      <c r="A4" s="7" t="inlineStr">
        <is>
          <t>№</t>
        </is>
      </c>
      <c r="B4" s="7" t="inlineStr">
        <is>
          <t>Дата</t>
        </is>
      </c>
      <c r="C4" s="7" t="inlineStr">
        <is>
          <t>Категория</t>
        </is>
      </c>
      <c r="D4" s="7" t="inlineStr">
        <is>
          <t>Наименование расхода / Работы</t>
        </is>
      </c>
      <c r="E4" s="7" t="inlineStr">
        <is>
          <t>Рыночная цена (₽)</t>
        </is>
      </c>
      <c r="F4" s="7" t="inlineStr">
        <is>
          <t>Факт оплачено (₽)</t>
        </is>
      </c>
      <c r="G4" s="7" t="inlineStr">
        <is>
          <t>Экономия (₽)</t>
        </is>
      </c>
      <c r="H4" s="7" t="inlineStr">
        <is>
          <t>% Экономии</t>
        </is>
      </c>
      <c r="I4" s="7" t="inlineStr">
        <is>
          <t>Исполнитель / Поставщик</t>
        </is>
      </c>
      <c r="J4" s="7" t="inlineStr">
        <is>
          <t>Примечание / Чек</t>
        </is>
      </c>
    </row>
    <row r="5">
      <c r="A5" s="11" t="n">
        <v>1</v>
      </c>
      <c r="B5" s="11" t="inlineStr">
        <is>
          <t>18.08.2026</t>
        </is>
      </c>
      <c r="C5" s="8" t="inlineStr">
        <is>
          <t>Юр. оформление / Торги</t>
        </is>
      </c>
      <c r="D5" s="8" t="inlineStr">
        <is>
          <t>Выпуск ЭЦП (электронная цифровая подпись)</t>
        </is>
      </c>
      <c r="E5" s="9" t="n">
        <v>7000</v>
      </c>
      <c r="F5" s="9" t="n">
        <v>7000</v>
      </c>
      <c r="G5" s="9">
        <f>E5-F5</f>
        <v/>
      </c>
      <c r="H5" s="18">
        <f>IFERROR(G5/E5, 0)</f>
        <v/>
      </c>
      <c r="I5" s="8" t="inlineStr">
        <is>
          <t>УЦ / Контур</t>
        </is>
      </c>
      <c r="J5" s="8" t="inlineStr">
        <is>
          <t>Для участия в торгах и регистрации</t>
        </is>
      </c>
      <c r="K5" s="30" t="n"/>
      <c r="L5" s="30" t="n"/>
      <c r="M5" s="30" t="n"/>
      <c r="N5" s="30" t="n"/>
    </row>
    <row r="6">
      <c r="A6" s="11" t="n">
        <v>2</v>
      </c>
      <c r="B6" s="11" t="inlineStr">
        <is>
          <t>18.08.2026</t>
        </is>
      </c>
      <c r="C6" s="8" t="inlineStr">
        <is>
          <t>Юр. оформление / Торги</t>
        </is>
      </c>
      <c r="D6" s="8" t="inlineStr">
        <is>
          <t>Государственная пошлина (регистрация права)</t>
        </is>
      </c>
      <c r="E6" s="9" t="n">
        <v>5000</v>
      </c>
      <c r="F6" s="9" t="n">
        <v>5000</v>
      </c>
      <c r="G6" s="9">
        <f>E6-F6</f>
        <v/>
      </c>
      <c r="H6" s="18">
        <f>IFERROR(G6/E6, 0)</f>
        <v/>
      </c>
      <c r="I6" s="8" t="inlineStr">
        <is>
          <t>Росреестр</t>
        </is>
      </c>
      <c r="J6" s="8" t="inlineStr">
        <is>
          <t>Госпошлина за переход права</t>
        </is>
      </c>
      <c r="K6" s="30" t="n"/>
      <c r="L6" s="30" t="n"/>
      <c r="M6" s="30" t="n"/>
      <c r="N6" s="30" t="n"/>
    </row>
    <row r="7">
      <c r="A7" s="11" t="n">
        <v>3</v>
      </c>
      <c r="B7" s="11" t="inlineStr">
        <is>
          <t>18.08.2026</t>
        </is>
      </c>
      <c r="C7" s="8" t="inlineStr">
        <is>
          <t>Безопасность / Доступ</t>
        </is>
      </c>
      <c r="D7" s="8" t="inlineStr">
        <is>
          <t>Вскрытие старого замка и обеспечение доступа</t>
        </is>
      </c>
      <c r="E7" s="9" t="n">
        <v>8000</v>
      </c>
      <c r="F7" s="9" t="n">
        <v>8000</v>
      </c>
      <c r="G7" s="9">
        <f>E7-F7</f>
        <v/>
      </c>
      <c r="H7" s="18">
        <f>IFERROR(G7/E7, 0)</f>
        <v/>
      </c>
      <c r="I7" s="8" t="inlineStr">
        <is>
          <t>Служба вскрытия</t>
        </is>
      </c>
      <c r="J7" s="8" t="inlineStr">
        <is>
          <t>Аварийное открытие входной двери объекта</t>
        </is>
      </c>
      <c r="K7" s="30" t="n"/>
      <c r="L7" s="30" t="n"/>
      <c r="M7" s="30" t="n"/>
      <c r="N7" s="30" t="n"/>
    </row>
    <row r="8">
      <c r="A8" s="11" t="n">
        <v>4</v>
      </c>
      <c r="B8" s="11" t="inlineStr">
        <is>
          <t>22.08.2026</t>
        </is>
      </c>
      <c r="C8" s="8" t="inlineStr">
        <is>
          <t>Демонтаж и зачистка</t>
        </is>
      </c>
      <c r="D8" s="8" t="inlineStr">
        <is>
          <t>Заказ мусорного контейнера 8 м³</t>
        </is>
      </c>
      <c r="E8" s="9" t="n">
        <v>9000</v>
      </c>
      <c r="F8" s="9" t="n">
        <v>8500</v>
      </c>
      <c r="G8" s="9">
        <f>E8-F8</f>
        <v/>
      </c>
      <c r="H8" s="18">
        <f>IFERROR(G8/E8, 0)</f>
        <v/>
      </c>
      <c r="I8" s="8" t="inlineStr">
        <is>
          <t>Елена (контейнер)</t>
        </is>
      </c>
      <c r="J8" s="8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</row>
    <row r="9">
      <c r="A9" s="11" t="n">
        <v>5</v>
      </c>
      <c r="B9" s="11" t="inlineStr">
        <is>
          <t>22.08.2026</t>
        </is>
      </c>
      <c r="C9" s="8" t="inlineStr">
        <is>
          <t>Демонтаж и зачистка</t>
        </is>
      </c>
      <c r="D9" s="8" t="inlineStr">
        <is>
          <t>Аренда/помощь инструментом соседа</t>
        </is>
      </c>
      <c r="E9" s="9" t="n">
        <v>2500</v>
      </c>
      <c r="F9" s="9" t="n">
        <v>1000</v>
      </c>
      <c r="G9" s="9">
        <f>E9-F9</f>
        <v/>
      </c>
      <c r="H9" s="18">
        <f>IFERROR(G9/E9, 0)</f>
        <v/>
      </c>
      <c r="I9" s="8" t="inlineStr">
        <is>
          <t>Сосед по дому</t>
        </is>
      </c>
      <c r="J9" s="8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</row>
    <row r="10">
      <c r="A10" s="11" t="n">
        <v>6</v>
      </c>
      <c r="B10" s="11" t="inlineStr">
        <is>
          <t>22.08.2026</t>
        </is>
      </c>
      <c r="C10" s="8" t="inlineStr">
        <is>
          <t>Расходные материалы</t>
        </is>
      </c>
      <c r="D10" s="8" t="inlineStr">
        <is>
          <t>Мешки мусорные плотные, перчатки рабочие</t>
        </is>
      </c>
      <c r="E10" s="9" t="n">
        <v>500</v>
      </c>
      <c r="F10" s="9" t="n">
        <v>300</v>
      </c>
      <c r="G10" s="9">
        <f>E10-F10</f>
        <v/>
      </c>
      <c r="H10" s="18">
        <f>IFERROR(G10/E10, 0)</f>
        <v/>
      </c>
      <c r="I10" s="8" t="inlineStr">
        <is>
          <t>Хозмаг / Рынок</t>
        </is>
      </c>
      <c r="J10" s="8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</row>
    <row r="11">
      <c r="A11" s="11" t="n">
        <v>7</v>
      </c>
      <c r="B11" s="11" t="inlineStr">
        <is>
          <t>22.08.2026</t>
        </is>
      </c>
      <c r="C11" s="8" t="inlineStr">
        <is>
          <t>Демонтаж и зачистка</t>
        </is>
      </c>
      <c r="D11" s="8" t="inlineStr">
        <is>
          <t>Оплата работы бригады (4 чел., 28 чел.-час, спуск с 5 этажа)</t>
        </is>
      </c>
      <c r="E11" s="9" t="n">
        <v>20000</v>
      </c>
      <c r="F11" s="9" t="n">
        <v>16000</v>
      </c>
      <c r="G11" s="9">
        <f>E11-F11</f>
        <v/>
      </c>
      <c r="H11" s="18">
        <f>IFERROR(G11/E11, 0)</f>
        <v/>
      </c>
      <c r="I11" s="8" t="inlineStr">
        <is>
          <t>Бригада разнорабочих</t>
        </is>
      </c>
      <c r="J11" s="8" t="inlineStr">
        <is>
          <t>4 чел., 28 ч.-час, экономия от рынка ~4 000 ₽</t>
        </is>
      </c>
      <c r="K11" s="30" t="n"/>
      <c r="L11" s="30" t="n"/>
      <c r="M11" s="30" t="n"/>
      <c r="N11" s="30" t="n"/>
    </row>
    <row r="12">
      <c r="A12" s="11" t="n">
        <v>8</v>
      </c>
      <c r="B12" s="11" t="inlineStr">
        <is>
          <t>23.08.2026</t>
        </is>
      </c>
      <c r="C12" s="8" t="inlineStr">
        <is>
          <t>Расходные материалы</t>
        </is>
      </c>
      <c r="D12" s="8" t="inlineStr">
        <is>
          <t>Мешки для пылесоса синт. 12л (5 шт) — Леруа/Лемана</t>
        </is>
      </c>
      <c r="E12" s="9" t="n">
        <v>717</v>
      </c>
      <c r="F12" s="9" t="n">
        <v>717</v>
      </c>
      <c r="G12" s="9">
        <f>E12-F12</f>
        <v/>
      </c>
      <c r="H12" s="18">
        <f>IFERROR(G12/E12, 0)</f>
        <v/>
      </c>
      <c r="I12" s="8" t="inlineStr">
        <is>
          <t>ООО Ле Монлид (Лемана ПРО)</t>
        </is>
      </c>
      <c r="J12" s="8" t="inlineStr">
        <is>
          <t>Чек 3831 от 23.08.2026 11:05</t>
        </is>
      </c>
      <c r="K12" s="30" t="n"/>
      <c r="L12" s="30" t="n"/>
      <c r="M12" s="30" t="n"/>
      <c r="N12" s="30" t="n"/>
    </row>
    <row r="13">
      <c r="A13" s="11" t="n">
        <v>9</v>
      </c>
      <c r="B13" s="11" t="inlineStr">
        <is>
          <t>23.08.2026</t>
        </is>
      </c>
      <c r="C13" s="8" t="inlineStr">
        <is>
          <t>Инструмент и расходники</t>
        </is>
      </c>
      <c r="D13" s="8" t="inlineStr">
        <is>
          <t>Лом-гвоздодер, мешки 15шт, лента, перчатки 6п, опрыскиватель</t>
        </is>
      </c>
      <c r="E13" s="9" t="n">
        <v>1830</v>
      </c>
      <c r="F13" s="9" t="n">
        <v>1830</v>
      </c>
      <c r="G13" s="9">
        <f>E13-F13</f>
        <v/>
      </c>
      <c r="H13" s="18">
        <f>IFERROR(G13/E13, 0)</f>
        <v/>
      </c>
      <c r="I13" s="8" t="inlineStr">
        <is>
          <t>ООО Ле Монлид (Лемана ПРО)</t>
        </is>
      </c>
      <c r="J13" s="8" t="inlineStr">
        <is>
          <t>Чек 3832 от 23.08.2026 11:07</t>
        </is>
      </c>
      <c r="K13" s="30" t="n"/>
      <c r="L13" s="30" t="n"/>
      <c r="M13" s="30" t="n"/>
      <c r="N13" s="30" t="n"/>
    </row>
    <row r="14">
      <c r="A14" s="11" t="n">
        <v>10</v>
      </c>
      <c r="B14" s="11" t="inlineStr">
        <is>
          <t>23.08.2026</t>
        </is>
      </c>
      <c r="C14" s="8" t="inlineStr">
        <is>
          <t>IT / AI-инфраструктура</t>
        </is>
      </c>
      <c r="D14" s="8" t="inlineStr">
        <is>
          <t>Пополнение баланса OpenRouter (AI-ассистент Hermes)</t>
        </is>
      </c>
      <c r="E14" s="9" t="n">
        <v>3000</v>
      </c>
      <c r="F14" s="9" t="n">
        <v>3000</v>
      </c>
      <c r="G14" s="9">
        <f>E14-F14</f>
        <v/>
      </c>
      <c r="H14" s="18">
        <f>IFERROR(G14/E14, 0)</f>
        <v/>
      </c>
      <c r="I14" s="8" t="inlineStr">
        <is>
          <t>OpenRouter</t>
        </is>
      </c>
      <c r="J14" s="8" t="inlineStr">
        <is>
          <t>Инфраструктура проектов и аналитики</t>
        </is>
      </c>
      <c r="K14" s="30" t="n"/>
      <c r="L14" s="30" t="n"/>
      <c r="M14" s="30" t="n"/>
      <c r="N14" s="30" t="n"/>
    </row>
    <row r="15">
      <c r="A15" s="11" t="n">
        <v>11</v>
      </c>
      <c r="B15" s="11" t="inlineStr">
        <is>
          <t>24.08.2026</t>
        </is>
      </c>
      <c r="C15" s="8" t="inlineStr">
        <is>
          <t>Сантехника / Инженерия</t>
        </is>
      </c>
      <c r="D15" s="8" t="inlineStr">
        <is>
          <t>Счётчик воды + кран на ввод (замена закисшей запорной арматуры)</t>
        </is>
      </c>
      <c r="E15" s="9" t="n">
        <v>2100</v>
      </c>
      <c r="F15" s="9" t="n">
        <v>2100</v>
      </c>
      <c r="G15" s="9">
        <f>E15-F15</f>
        <v/>
      </c>
      <c r="H15" s="18">
        <f>IFERROR(G15/E15, 0)</f>
        <v/>
      </c>
      <c r="I15" s="8" t="inlineStr">
        <is>
          <t>Вадим (сантехник УК)</t>
        </is>
      </c>
      <c r="J15" s="8" t="inlineStr">
        <is>
          <t>Замена запорной арматуры на вводе воды в квартиру (всё закисло)</t>
        </is>
      </c>
      <c r="K15" s="30" t="n"/>
      <c r="L15" s="30" t="n"/>
      <c r="M15" s="30" t="n"/>
      <c r="N15" s="30" t="n"/>
    </row>
    <row r="16">
      <c r="A16" s="11" t="n">
        <v>12</v>
      </c>
      <c r="B16" s="11" t="inlineStr">
        <is>
          <t>24.08.2026</t>
        </is>
      </c>
      <c r="C16" s="8" t="inlineStr">
        <is>
          <t>Газ / Дымоход</t>
        </is>
      </c>
      <c r="D16" s="8" t="inlineStr">
        <is>
          <t>Акт ВДПО — проверка дымохода и вентканала</t>
        </is>
      </c>
      <c r="E16" s="9" t="n">
        <v>1500</v>
      </c>
      <c r="F16" s="9" t="n">
        <v>1500</v>
      </c>
      <c r="G16" s="9">
        <f>E16-F16</f>
        <v/>
      </c>
      <c r="H16" s="18">
        <f>IFERROR(G16/E16, 0)</f>
        <v/>
      </c>
      <c r="I16" s="8" t="inlineStr">
        <is>
          <t>ВДПО / Газовая служба</t>
        </is>
      </c>
      <c r="J16" s="8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</row>
    <row r="17">
      <c r="A17" s="11" t="n">
        <v>13</v>
      </c>
      <c r="B17" s="11" t="inlineStr">
        <is>
          <t>24.08.2026</t>
        </is>
      </c>
      <c r="C17" s="8" t="inlineStr">
        <is>
          <t>Газ / Дымоход</t>
        </is>
      </c>
      <c r="D17" s="8" t="inlineStr">
        <is>
          <t>Оплата квитанций Тулагоргаз (платежки)</t>
        </is>
      </c>
      <c r="E17" s="9" t="n">
        <v>800</v>
      </c>
      <c r="F17" s="9" t="n">
        <v>800</v>
      </c>
      <c r="G17" s="9">
        <f>E17-F17</f>
        <v/>
      </c>
      <c r="H17" s="18">
        <f>IFERROR(G17/E17, 0)</f>
        <v/>
      </c>
      <c r="I17" s="8" t="inlineStr">
        <is>
          <t>Тулагоргаз</t>
        </is>
      </c>
      <c r="J17" s="8" t="inlineStr">
        <is>
          <t>Оплата начислений / услуг газоснабжения</t>
        </is>
      </c>
      <c r="K17" s="30" t="n"/>
      <c r="L17" s="30" t="n"/>
      <c r="M17" s="30" t="n"/>
      <c r="N17" s="30" t="n"/>
    </row>
    <row r="18">
      <c r="A18" s="34" t="n"/>
      <c r="B18" s="34" t="n"/>
      <c r="C18" s="35" t="n"/>
      <c r="D18" s="19" t="inlineStr">
        <is>
          <t>ИТОГО РАСХОДОВ:</t>
        </is>
      </c>
      <c r="E18" s="20">
        <f>SUM(E5:E17)</f>
        <v/>
      </c>
      <c r="F18" s="20">
        <f>SUM(F5:F17)</f>
        <v/>
      </c>
      <c r="G18" s="20">
        <f>SUM(G5:G17)</f>
        <v/>
      </c>
      <c r="H18" s="21">
        <f>IFERROR(G18/E18, 0)</f>
        <v/>
      </c>
      <c r="I18" s="35" t="n"/>
      <c r="J18" s="35" t="n"/>
      <c r="K18" s="30" t="n"/>
      <c r="L18" s="30" t="n"/>
      <c r="M18" s="30" t="n"/>
      <c r="N18" s="30" t="n"/>
    </row>
    <row r="19">
      <c r="A19" s="30" t="n"/>
      <c r="B19" s="30" t="n"/>
      <c r="C19" s="30" t="n"/>
      <c r="D19" s="31" t="n"/>
      <c r="E19" s="36" t="n"/>
      <c r="F19" s="36" t="n"/>
      <c r="G19" s="36" t="n"/>
      <c r="H19" s="33" t="n"/>
      <c r="I19" s="30" t="n"/>
      <c r="J19" s="30" t="n"/>
      <c r="K19" s="30" t="n"/>
      <c r="L19" s="30" t="n"/>
      <c r="M19" s="30" t="n"/>
      <c r="N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74" customWidth="1" min="1" max="1"/>
    <col width="44" customWidth="1" min="2" max="2"/>
    <col width="14" customWidth="1" min="3" max="3"/>
    <col width="17" customWidth="1" min="4" max="4"/>
    <col width="22" customWidth="1" min="5" max="5"/>
    <col width="22" customWidth="1" min="6" max="6"/>
    <col width="20" customWidth="1" min="7" max="7"/>
    <col width="42" customWidth="1" min="8" max="8"/>
  </cols>
  <sheetData>
    <row r="1">
      <c r="A1" s="1" t="inlineStr">
        <is>
          <t>СМЕТНЫЙ ПЛАН: РЫНОЧНАЯ СТОИМОСТЬ VS ЦЕЛЕВОЙ БЮДЖЕТ</t>
        </is>
      </c>
    </row>
    <row r="2">
      <c r="A2" s="2" t="inlineStr">
        <is>
          <t>Сравнение среднерыночных цен Тулы с нашей целевой стоимостью выполнения</t>
        </is>
      </c>
    </row>
    <row r="4">
      <c r="A4" s="7" t="inlineStr">
        <is>
          <t>№</t>
        </is>
      </c>
      <c r="B4" s="7" t="inlineStr">
        <is>
          <t>Этап / Раздел работ</t>
        </is>
      </c>
      <c r="C4" s="7" t="inlineStr">
        <is>
          <t>Объём / Ед.</t>
        </is>
      </c>
      <c r="D4" s="7" t="inlineStr">
        <is>
          <t>Рынок Тула (₽)</t>
        </is>
      </c>
      <c r="E4" s="7" t="inlineStr">
        <is>
          <t>Наш план / Цель (₽)</t>
        </is>
      </c>
      <c r="F4" s="7" t="inlineStr">
        <is>
          <t>Плановая выгода (₽)</t>
        </is>
      </c>
      <c r="G4" s="7" t="inlineStr">
        <is>
          <t>Статус выполнения</t>
        </is>
      </c>
      <c r="H4" s="7" t="inlineStr">
        <is>
          <t>Способ оптимизации ниже рынка</t>
        </is>
      </c>
    </row>
    <row r="5">
      <c r="A5" s="11" t="n">
        <v>1</v>
      </c>
      <c r="B5" s="8" t="inlineStr">
        <is>
          <t>1. Демонтаж, зачистка стен, вывоз мусора (8м³)</t>
        </is>
      </c>
      <c r="C5" s="11" t="inlineStr">
        <is>
          <t>43.2 м²</t>
        </is>
      </c>
      <c r="D5" s="9" t="n">
        <v>65000</v>
      </c>
      <c r="E5" s="9" t="n">
        <v>45000</v>
      </c>
      <c r="F5" s="9">
        <f>D5-E5</f>
        <v/>
      </c>
      <c r="G5" s="11" t="inlineStr">
        <is>
          <t>В работе</t>
        </is>
      </c>
      <c r="H5" s="8" t="inlineStr">
        <is>
          <t>Своими силами / прямые разнорабочие</t>
        </is>
      </c>
    </row>
    <row r="6">
      <c r="A6" s="11" t="n">
        <v>2</v>
      </c>
      <c r="B6" s="8" t="inlineStr">
        <is>
          <t>2. Входная дверь металлическая с МДФ + монтаж</t>
        </is>
      </c>
      <c r="C6" s="11" t="inlineStr">
        <is>
          <t>1 шт</t>
        </is>
      </c>
      <c r="D6" s="9" t="n">
        <v>35000</v>
      </c>
      <c r="E6" s="9" t="n">
        <v>25000</v>
      </c>
      <c r="F6" s="9">
        <f>D6-E6</f>
        <v/>
      </c>
      <c r="G6" s="11" t="inlineStr">
        <is>
          <t>План</t>
        </is>
      </c>
      <c r="H6" s="8" t="inlineStr">
        <is>
          <t>Оптовый поставщик в Туле</t>
        </is>
      </c>
    </row>
    <row r="7">
      <c r="A7" s="11" t="n">
        <v>3</v>
      </c>
      <c r="B7" s="8" t="inlineStr">
        <is>
          <t>3. Электрика ГОСТ ВВГнг-LS (32 точки + щит 18м)</t>
        </is>
      </c>
      <c r="C7" s="11" t="inlineStr">
        <is>
          <t>комплекс</t>
        </is>
      </c>
      <c r="D7" s="9" t="n">
        <v>100000</v>
      </c>
      <c r="E7" s="9" t="n">
        <v>75000</v>
      </c>
      <c r="F7" s="9">
        <f>D7-E7</f>
        <v/>
      </c>
      <c r="G7" s="11" t="inlineStr">
        <is>
          <t>ТЗ готово</t>
        </is>
      </c>
      <c r="H7" s="8" t="inlineStr">
        <is>
          <t>Трассировка по потолку без лишних штроб</t>
        </is>
      </c>
    </row>
    <row r="8">
      <c r="A8" s="11" t="n">
        <v>4</v>
      </c>
      <c r="B8" s="8" t="inlineStr">
        <is>
          <t>4. Сантехника (разводка PPR, инсталляция, ванна 150)</t>
        </is>
      </c>
      <c r="C8" s="11" t="inlineStr">
        <is>
          <t>комплекс</t>
        </is>
      </c>
      <c r="D8" s="9" t="n">
        <v>120000</v>
      </c>
      <c r="E8" s="9" t="n">
        <v>90000</v>
      </c>
      <c r="F8" s="9">
        <f>D8-E8</f>
        <v/>
      </c>
      <c r="G8" s="11" t="inlineStr">
        <is>
          <t>План</t>
        </is>
      </c>
      <c r="H8" s="8" t="inlineStr">
        <is>
          <t>Стояк уже пластик; прямая закупка сантехники</t>
        </is>
      </c>
    </row>
    <row r="9">
      <c r="A9" s="11" t="n">
        <v>5</v>
      </c>
      <c r="B9" s="8" t="inlineStr">
        <is>
          <t>5. Перепланировка гардеробной (зашивка + проём)</t>
        </is>
      </c>
      <c r="C9" s="11" t="inlineStr">
        <is>
          <t>комплекс</t>
        </is>
      </c>
      <c r="D9" s="9" t="n">
        <v>30000</v>
      </c>
      <c r="E9" s="9" t="n">
        <v>18000</v>
      </c>
      <c r="F9" s="9">
        <f>D9-E9</f>
        <v/>
      </c>
      <c r="G9" s="11" t="inlineStr">
        <is>
          <t>План</t>
        </is>
      </c>
      <c r="H9" s="8" t="inlineStr">
        <is>
          <t>ГКЛ по месту без мокрых процессов</t>
        </is>
      </c>
    </row>
    <row r="10">
      <c r="A10" s="11" t="n">
        <v>6</v>
      </c>
      <c r="B10" s="8" t="inlineStr">
        <is>
          <t>6. Черновая отделка (полы саморезы, штукатурка с/у)</t>
        </is>
      </c>
      <c r="C10" s="11" t="inlineStr">
        <is>
          <t>43.2 м²</t>
        </is>
      </c>
      <c r="D10" s="9" t="n">
        <v>95000</v>
      </c>
      <c r="E10" s="9" t="n">
        <v>70000</v>
      </c>
      <c r="F10" s="9">
        <f>D10-E10</f>
        <v/>
      </c>
      <c r="G10" s="11" t="inlineStr">
        <is>
          <t>План</t>
        </is>
      </c>
      <c r="H10" s="8" t="inlineStr">
        <is>
          <t>Без заливки стяжки (протяжка лаг)</t>
        </is>
      </c>
    </row>
    <row r="11">
      <c r="A11" s="11" t="n">
        <v>7</v>
      </c>
      <c r="B11" s="8" t="inlineStr">
        <is>
          <t>7. Чистовая отделка (обои, ламинат 33кл, плинтус)</t>
        </is>
      </c>
      <c r="C11" s="11" t="inlineStr">
        <is>
          <t>43.2 м²</t>
        </is>
      </c>
      <c r="D11" s="9" t="n">
        <v>140000</v>
      </c>
      <c r="E11" s="9" t="n">
        <v>110000</v>
      </c>
      <c r="F11" s="9">
        <f>D11-E11</f>
        <v/>
      </c>
      <c r="G11" s="11" t="inlineStr">
        <is>
          <t>План</t>
        </is>
      </c>
      <c r="H11" s="8" t="inlineStr">
        <is>
          <t>Светлый сканди-стандарт, единый контур</t>
        </is>
      </c>
    </row>
    <row r="12">
      <c r="A12" s="11" t="n">
        <v>8</v>
      </c>
      <c r="B12" s="8" t="inlineStr">
        <is>
          <t>8. Натяжные матовые потолки + споты (вся кв.)</t>
        </is>
      </c>
      <c r="C12" s="11" t="inlineStr">
        <is>
          <t>43.2 м²</t>
        </is>
      </c>
      <c r="D12" s="9" t="n">
        <v>45000</v>
      </c>
      <c r="E12" s="9" t="n">
        <v>35000</v>
      </c>
      <c r="F12" s="9">
        <f>D12-E12</f>
        <v/>
      </c>
      <c r="G12" s="11" t="inlineStr">
        <is>
          <t>План</t>
        </is>
      </c>
      <c r="H12" s="8" t="inlineStr">
        <is>
          <t>Прямой замер от бригады потолочников</t>
        </is>
      </c>
    </row>
    <row r="13">
      <c r="A13" s="11" t="n">
        <v>9</v>
      </c>
      <c r="B13" s="8" t="inlineStr">
        <is>
          <t>9. Межкомнатные двери (3 шт глухие + доборы)</t>
        </is>
      </c>
      <c r="C13" s="11" t="inlineStr">
        <is>
          <t>3 компл</t>
        </is>
      </c>
      <c r="D13" s="9" t="n">
        <v>50000</v>
      </c>
      <c r="E13" s="9" t="n">
        <v>38000</v>
      </c>
      <c r="F13" s="9">
        <f>D13-E13</f>
        <v/>
      </c>
      <c r="G13" s="11" t="inlineStr">
        <is>
          <t>План</t>
        </is>
      </c>
      <c r="H13" s="8" t="inlineStr">
        <is>
          <t>Светлые царговые полотна с магнитными замками</t>
        </is>
      </c>
    </row>
    <row r="14">
      <c r="A14" s="11" t="n">
        <v>10</v>
      </c>
      <c r="B14" s="8" t="inlineStr">
        <is>
          <t>10. Кухонный гарнитур + фартук + мойка/смеситель</t>
        </is>
      </c>
      <c r="C14" s="11" t="inlineStr">
        <is>
          <t>1 компл</t>
        </is>
      </c>
      <c r="D14" s="9" t="n">
        <v>95000</v>
      </c>
      <c r="E14" s="9" t="n">
        <v>75000</v>
      </c>
      <c r="F14" s="9">
        <f>D14-E14</f>
        <v/>
      </c>
      <c r="G14" s="11" t="inlineStr">
        <is>
          <t>План</t>
        </is>
      </c>
      <c r="H14" s="8" t="inlineStr">
        <is>
          <t>Модульная кухня с интеграцией колонки Mora</t>
        </is>
      </c>
    </row>
    <row r="15">
      <c r="A15" s="11" t="n">
        <v>11</v>
      </c>
      <c r="B15" s="8" t="inlineStr">
        <is>
          <t>11. Стейджинг, освещение, декор, клининг</t>
        </is>
      </c>
      <c r="C15" s="11" t="inlineStr">
        <is>
          <t>комплекс</t>
        </is>
      </c>
      <c r="D15" s="9" t="n">
        <v>50000</v>
      </c>
      <c r="E15" s="9" t="n">
        <v>40000</v>
      </c>
      <c r="F15" s="9">
        <f>D15-E15</f>
        <v/>
      </c>
      <c r="G15" s="11" t="inlineStr">
        <is>
          <t>План</t>
        </is>
      </c>
      <c r="H15" s="8" t="inlineStr">
        <is>
          <t>Минималистичный интерьерный декор</t>
        </is>
      </c>
    </row>
    <row r="16">
      <c r="A16" s="14" t="n"/>
      <c r="B16" s="19" t="inlineStr">
        <is>
          <t>ИТОГО СМЕТА РЕМОНТА:</t>
        </is>
      </c>
      <c r="C16" s="14" t="n"/>
      <c r="D16" s="20">
        <f>SUM(D5:D15)</f>
        <v/>
      </c>
      <c r="E16" s="20">
        <f>SUM(E5:E15)</f>
        <v/>
      </c>
      <c r="F16" s="20">
        <f>SUM(F5:F15)</f>
        <v/>
      </c>
      <c r="G16" s="14" t="n"/>
      <c r="H16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2026-08-24T17:24:53Z</dcterms:modified>
</cp:coreProperties>
</file>
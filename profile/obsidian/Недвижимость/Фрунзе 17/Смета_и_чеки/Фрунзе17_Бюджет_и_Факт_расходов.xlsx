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₽&quot;"/>
    <numFmt numFmtId="165" formatCode="0.0%"/>
    <numFmt numFmtId="166" formatCode="#,##0.00 &quot;₽&quot;"/>
    <numFmt numFmtId="167" formatCode="+0.0%"/>
    <numFmt numFmtId="168" formatCode="#,##0.##"/>
  </numFmts>
  <fonts count="37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  <font>
      <name val="Segoe UI"/>
      <b val="1"/>
      <color rgb="00581C87"/>
      <sz val="10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</fills>
  <borders count="2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2" fillId="4" borderId="0" applyAlignment="1" pivotButton="0" quotePrefix="0" xfId="0">
      <alignment vertical="center"/>
    </xf>
    <xf numFmtId="166" fontId="12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vertical="center"/>
    </xf>
    <xf numFmtId="166" fontId="24" fillId="3" borderId="0" applyAlignment="1" pivotButton="0" quotePrefix="0" xfId="0">
      <alignment horizontal="right" vertical="center"/>
    </xf>
    <xf numFmtId="165" fontId="11" fillId="6" borderId="11" applyAlignment="1" pivotButton="0" quotePrefix="0" xfId="0">
      <alignment horizontal="right" vertical="center"/>
    </xf>
    <xf numFmtId="168" fontId="4" fillId="4" borderId="11" applyAlignment="1" pivotButton="0" quotePrefix="0" xfId="0">
      <alignment horizontal="center" vertical="center"/>
    </xf>
    <xf numFmtId="166" fontId="5" fillId="4" borderId="11" applyAlignment="1" pivotButton="0" quotePrefix="0" xfId="0">
      <alignment horizontal="right" vertical="center"/>
    </xf>
    <xf numFmtId="168" fontId="4" fillId="7" borderId="11" applyAlignment="1" pivotButton="0" quotePrefix="0" xfId="0">
      <alignment horizontal="center" vertical="center"/>
    </xf>
    <xf numFmtId="166" fontId="5" fillId="7" borderId="11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24" fillId="3" borderId="12" applyAlignment="1" pivotButton="0" quotePrefix="0" xfId="0">
      <alignment horizontal="left" vertical="center"/>
    </xf>
    <xf numFmtId="166" fontId="24" fillId="3" borderId="12" applyAlignment="1" pivotButton="0" quotePrefix="0" xfId="0">
      <alignment horizontal="right" vertical="center"/>
    </xf>
    <xf numFmtId="0" fontId="27" fillId="4" borderId="0" applyAlignment="1" pivotButton="0" quotePrefix="0" xfId="0">
      <alignment vertical="center"/>
    </xf>
    <xf numFmtId="166" fontId="27" fillId="4" borderId="0" applyAlignment="1" pivotButton="0" quotePrefix="0" xfId="0">
      <alignment horizontal="right" vertical="center"/>
    </xf>
    <xf numFmtId="0" fontId="36" fillId="11" borderId="0" applyAlignment="1" pivotButton="0" quotePrefix="0" xfId="0">
      <alignment horizontal="left" vertical="center"/>
    </xf>
    <xf numFmtId="0" fontId="16" fillId="3" borderId="12" applyAlignment="1" pivotButton="0" quotePrefix="0" xfId="0">
      <alignment vertical="center"/>
    </xf>
    <xf numFmtId="166" fontId="16" fillId="3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расходов'!F52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расходов'!C5:C51, "*Юр.*", 'Факт расходов'!F5:F51)+SUMIF('Факт расходов'!C5:C51, "*Безопасность*", 'Факт расходов'!F5:F51)+SUMIF('Факт расходов'!C5:C51, "*IT*", 'Факт расходов'!F5:F51)+SUMIF('Факт расходов'!C5:C51, "*Электроэнергия*", 'Факт расходов'!F5:F51)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расходов'!C5:C51, "*Демонтаж*", 'Факт расходов'!F5:F51)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расходов'!C5:C51, "*Двери*", 'Факт расходов'!F5:F51)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расходов'!C5:C51, "*Электрика*", 'Факт расходов'!F5:F51)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расходов'!C5:C51, "*Сантехника*", 'Факт расходов'!F5:F51)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расходов'!C5:C51, "*Газ*", 'Факт расходов'!F5:F51)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расходов'!C5:C51, "*Черновая*", 'Факт расходов'!F5:F51)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расходов'!C5:C51, "*Чистовая*", 'Факт расходов'!F5:F51)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расходов'!C5:C51, "*Инструмент*", 'Факт расходов'!F5:F51)+SUMIF('Факт расходов'!C5:C51, "*Расходные*", 'Факт расходов'!F5:F51)+SUMIF('Факт расходов'!C5:C51, "*Логистика*", 'Факт расходов'!F5:F51)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расходов'!C5:C51, "*Оснащение*", 'Факт расходов'!F5:F51)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расходов'!E52</f>
        <v/>
      </c>
      <c r="C45" s="45">
        <f>'Факт расходов'!F52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0" customHeight="1">
      <c r="A46" s="64" t="n">
        <v>42</v>
      </c>
      <c r="B46" s="64" t="inlineStr">
        <is>
          <t>14.09.2026</t>
        </is>
      </c>
      <c r="C46" s="49" t="inlineStr">
        <is>
          <t>Черновая отделка / Работы</t>
        </is>
      </c>
      <c r="D46" s="49" t="inlineStr">
        <is>
          <t>Штукатурка (69 м/м² по 500 ₽) и шпаклёвка стен White Box (106 м² по 500 ₽)</t>
        </is>
      </c>
      <c r="E46" s="50" t="n">
        <v>99700</v>
      </c>
      <c r="F46" s="51" t="n">
        <v>87500</v>
      </c>
      <c r="G46" s="47">
        <f>E46-F46</f>
        <v/>
      </c>
      <c r="H46" s="63">
        <f>IFERROR(G46/E46, 0)</f>
        <v/>
      </c>
      <c r="I46" s="49" t="inlineStr">
        <is>
          <t>Елена (мастер-отделочник)</t>
        </is>
      </c>
      <c r="J46" s="49" t="inlineStr">
        <is>
          <t>Штукатурка 69 м² по 500₽ (34 500₽, частично погонаж/углы/штробы, усреднено) + шпаклёвка стен 106 м² по 500₽ (53 000₽). White Box готов к финишу (экономия 12 200 ₽)</t>
        </is>
      </c>
      <c r="K46" s="30" t="n"/>
      <c r="L46" s="30" t="n"/>
      <c r="M46" s="30" t="n"/>
      <c r="N46" s="30" t="n"/>
    </row>
    <row r="47" ht="20" customHeight="1">
      <c r="A47" s="62" t="n">
        <v>43</v>
      </c>
      <c r="B47" s="62" t="inlineStr">
        <is>
          <t>15.09.2026</t>
        </is>
      </c>
      <c r="C47" s="44" t="inlineStr">
        <is>
          <t>Сантехника / Материалы</t>
        </is>
      </c>
      <c r="D47" s="44" t="inlineStr">
        <is>
          <t>Канализация с/у (муфта-восстановитель раструба DN 110/110, трубы ПП 50, тройник 110/50, заглушка, отводы, манжеты, хомуты)</t>
        </is>
      </c>
      <c r="E47" s="45" t="n">
        <v>2988</v>
      </c>
      <c r="F47" s="46" t="n">
        <v>2988</v>
      </c>
      <c r="G47" s="47">
        <f>E47-F47</f>
        <v/>
      </c>
      <c r="H47" s="63">
        <f>IFERROR(G47/E47, 0)</f>
        <v/>
      </c>
      <c r="I47" s="44" t="inlineStr">
        <is>
          <t>ИП Кучеров М.И. (магазин «Полимерстрой», Тула)</t>
        </is>
      </c>
      <c r="J47" s="44" t="inlineStr">
        <is>
          <t>Чек от 15.09.2026 17:25 (карта *6730): восстановитель раструба DN110 (1315₽), тройник 110/50 (189₽), трубы ПП 50 5шт (664₽), заглушка (50₽), отводы/фитинги (394₽), хомуты/манжеты (376₽). Для разводки канализации с/у</t>
        </is>
      </c>
      <c r="K47" s="30" t="n"/>
      <c r="L47" s="30" t="n"/>
      <c r="M47" s="30" t="n"/>
      <c r="N47" s="30" t="n"/>
    </row>
    <row r="48" ht="20" customHeight="1">
      <c r="A48" s="64" t="n">
        <v>44</v>
      </c>
      <c r="B48" s="64" t="inlineStr">
        <is>
          <t>19.09.2026</t>
        </is>
      </c>
      <c r="C48" s="49" t="inlineStr">
        <is>
          <t>Сантехника / Материалы</t>
        </is>
      </c>
      <c r="D48" s="49" t="inlineStr">
        <is>
          <t>Трубы и фитинги PPR для разводки водоснабжения ХВС/ГВС (трубы армированные Faser 20х2.8 12м, фитинги, планка смесителя, кран DN15, клипсы)</t>
        </is>
      </c>
      <c r="E48" s="50" t="n">
        <v>3139.54</v>
      </c>
      <c r="F48" s="51" t="n">
        <v>3139.54</v>
      </c>
      <c r="G48" s="47">
        <f>E48-F48</f>
        <v/>
      </c>
      <c r="H48" s="63">
        <f>IFERROR(G48/E48, 0)</f>
        <v/>
      </c>
      <c r="I48" s="49" t="inlineStr">
        <is>
          <t>ТС «Ваттсон» (АО «Центргазсервис», Тула)</t>
        </is>
      </c>
      <c r="J48" s="49" t="inlineStr">
        <is>
          <t>Чек №23 от 19.09.2026 13:04: труба PN20 Faser 20х2.8 (3 шт. × 4м = 913.11₽), настенный комплект для смесителя (334.22₽), кран шаровой DN15 (258.30₽), муфты/уголки с ВР (716.53₽), углы 90°/45° (305.76₽), тройники (122.40₽), обводы (108.52₽), клипсы (191.70₽), заглушки (189₽)</t>
        </is>
      </c>
      <c r="K48" s="30" t="n"/>
      <c r="L48" s="30" t="n"/>
      <c r="M48" s="30" t="n"/>
      <c r="N48" s="30" t="n"/>
    </row>
    <row r="49" ht="20" customHeight="1">
      <c r="A49" s="62" t="n">
        <v>45</v>
      </c>
      <c r="B49" s="62" t="inlineStr">
        <is>
          <t>20.09.2026</t>
        </is>
      </c>
      <c r="C49" s="44" t="inlineStr">
        <is>
          <t>Черновая отделка / Материалы</t>
        </is>
      </c>
      <c r="D49" s="44" t="inlineStr">
        <is>
          <t>Материалы для штукатурки и гидроизоляции с/у, ревизионный люк, PPR фитинги и инструмент (штукатурка Старатели 8 шт., гидроизоляция Unis 4 кг, люк Fonet, маяки, профиль)</t>
        </is>
      </c>
      <c r="E49" s="45" t="n">
        <v>7827.6</v>
      </c>
      <c r="F49" s="46" t="n">
        <v>7827.6</v>
      </c>
      <c r="G49" s="47">
        <f>E49-F49</f>
        <v/>
      </c>
      <c r="H49" s="63">
        <f>IFERROR(G49/E49, 0)</f>
        <v/>
      </c>
      <c r="I49" s="44" t="inlineStr">
        <is>
          <t>ООО Ле Монлид (Лемана ПРО)</t>
        </is>
      </c>
      <c r="J49" s="44" t="inlineStr">
        <is>
          <t>Чек от 20.09.2026 12:03: штукатурка Старатели 30кг 8шт (4040₽), гидроизоляция Unis Blue Membran 4кг (1568₽), люк Fonet 200х250 (333₽), маяки 10шт (450₽), профиль 50х40 (234₽), PPR фитинги (353.60₽), подводка 1м (248₽), рулетки (405₽), кисть/перчатки/пакет (196₽)</t>
        </is>
      </c>
      <c r="K49" s="140" t="n"/>
      <c r="L49" s="140" t="n"/>
      <c r="M49" s="140" t="n"/>
      <c r="N49" s="140" t="n"/>
    </row>
    <row r="50" ht="20" customHeight="1">
      <c r="A50" s="64" t="n">
        <v>46</v>
      </c>
      <c r="B50" s="64" t="inlineStr">
        <is>
          <t>20.09.2026</t>
        </is>
      </c>
      <c r="C50" s="49" t="inlineStr">
        <is>
          <t>Чистовая отделка / Материалы</t>
        </is>
      </c>
      <c r="D50" s="49" t="inlineStr">
        <is>
          <t>Эмаль аэрозольная Luxens белая сатиновая и матовая 520 мл (2 шт.) для радиаторов отопления и труб</t>
        </is>
      </c>
      <c r="E50" s="50" t="n">
        <v>648</v>
      </c>
      <c r="F50" s="51" t="n">
        <v>648</v>
      </c>
      <c r="G50" s="47">
        <f>E50-F50</f>
        <v/>
      </c>
      <c r="H50" s="63">
        <f>IFERROR(G50/E50, 0)</f>
        <v/>
      </c>
      <c r="I50" s="49" t="inlineStr">
        <is>
          <t>ООО Ле Монлид (Лемана ПРО)</t>
        </is>
      </c>
      <c r="J50" s="49" t="inlineStr">
        <is>
          <t>Чек №123 от 20.09.2026 12:39: эмаль Luxens сатин белый 520мл (324₽) + эмаль Luxens матовая белый 520мл (324₽). Покраска чугунных радиаторов отопления и труб</t>
        </is>
      </c>
      <c r="K50" s="140" t="n"/>
      <c r="L50" s="140" t="n"/>
      <c r="M50" s="140" t="n"/>
      <c r="N50" s="140" t="n"/>
    </row>
    <row r="51" ht="20" customHeight="1">
      <c r="A51" s="62" t="n">
        <v>47</v>
      </c>
      <c r="B51" s="62" t="inlineStr">
        <is>
          <t>20.09.2026</t>
        </is>
      </c>
      <c r="C51" s="44" t="inlineStr">
        <is>
          <t>Черновая отделка / Материалы</t>
        </is>
      </c>
      <c r="D51" s="44" t="inlineStr">
        <is>
          <t>Ускоритель твердения Cemfix для стяжки пола санузла, 1 литр (добавка в раствор/пескобетон М300)</t>
        </is>
      </c>
      <c r="E51" s="45" t="n">
        <v>262</v>
      </c>
      <c r="F51" s="46" t="n">
        <v>262</v>
      </c>
      <c r="G51" s="47">
        <f>E51-F51</f>
        <v/>
      </c>
      <c r="H51" s="63">
        <f>IFERROR(G51/E51, 0)</f>
        <v/>
      </c>
      <c r="I51" s="44" t="inlineStr">
        <is>
          <t>ООО Ле Монлид (Лемана ПРО)</t>
        </is>
      </c>
      <c r="J51" s="44" t="inlineStr">
        <is>
          <t>Чек №138 от 20.09.2026 13:02 (касса 75, карта *6730): ускоритель твердения Cemfix 1л (262₽). Добавка в пескобетон М300 для быстрого набора прочности стяжки пола с/у перед гидроизоляцией</t>
        </is>
      </c>
      <c r="K51" s="140" t="n"/>
      <c r="L51" s="140" t="n"/>
      <c r="M51" s="140" t="n"/>
      <c r="N51" s="140" t="n"/>
    </row>
    <row r="52" ht="24" customHeight="1">
      <c r="A52" s="94" t="n"/>
      <c r="B52" s="94" t="n"/>
      <c r="C52" s="54" t="n"/>
      <c r="D52" s="65" t="inlineStr">
        <is>
          <t>ИТОГО РАСХОДОВ:</t>
        </is>
      </c>
      <c r="E52" s="55">
        <f>SUM(E5:E51)</f>
        <v/>
      </c>
      <c r="F52" s="55">
        <f>SUM(F5:F51)</f>
        <v/>
      </c>
      <c r="G52" s="55">
        <f>SUM(G5:G51)</f>
        <v/>
      </c>
      <c r="H52" s="104">
        <f>IFERROR(G52/E52, 0)</f>
        <v/>
      </c>
      <c r="I52" s="54" t="n"/>
      <c r="J52" s="54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  <row r="58">
      <c r="A58" s="140" t="n"/>
      <c r="B58" s="140" t="n"/>
      <c r="C58" s="140" t="n"/>
      <c r="D58" s="140" t="n"/>
      <c r="E58" s="140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</row>
    <row r="59">
      <c r="A59" s="140" t="n"/>
      <c r="B59" s="140" t="n"/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</row>
    <row r="60">
      <c r="A60" s="140" t="n"/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</row>
    <row r="61">
      <c r="A61" s="140" t="n"/>
      <c r="B61" s="140" t="n"/>
      <c r="C61" s="140" t="n"/>
      <c r="D61" s="140" t="n"/>
      <c r="E61" s="140" t="n"/>
      <c r="F61" s="140" t="n"/>
      <c r="G61" s="140" t="n"/>
      <c r="H61" s="140" t="n"/>
      <c r="I61" s="140" t="n"/>
      <c r="J61" s="140" t="n"/>
      <c r="K61" s="140" t="n"/>
      <c r="L61" s="140" t="n"/>
      <c r="M61" s="140" t="n"/>
      <c r="N61" s="140" t="n"/>
    </row>
    <row r="62">
      <c r="A62" s="140" t="n"/>
      <c r="B62" s="140" t="n"/>
      <c r="C62" s="140" t="n"/>
      <c r="D62" s="140" t="n"/>
      <c r="E62" s="140" t="n"/>
      <c r="F62" s="140" t="n"/>
      <c r="G62" s="140" t="n"/>
      <c r="H62" s="140" t="n"/>
      <c r="I62" s="140" t="n"/>
      <c r="J62" s="140" t="n"/>
      <c r="K62" s="140" t="n"/>
      <c r="L62" s="140" t="n"/>
      <c r="M62" s="140" t="n"/>
      <c r="N62" s="140" t="n"/>
    </row>
    <row r="63">
      <c r="A63" s="140" t="n"/>
      <c r="B63" s="140" t="n"/>
      <c r="C63" s="140" t="n"/>
      <c r="D63" s="140" t="n"/>
      <c r="E63" s="140" t="n"/>
      <c r="F63" s="140" t="n"/>
      <c r="G63" s="140" t="n"/>
      <c r="H63" s="140" t="n"/>
      <c r="I63" s="140" t="n"/>
      <c r="J63" s="140" t="n"/>
      <c r="K63" s="140" t="n"/>
      <c r="L63" s="140" t="n"/>
      <c r="M63" s="140" t="n"/>
      <c r="N63" s="140" t="n"/>
    </row>
    <row r="64">
      <c r="A64" s="140" t="n"/>
      <c r="B64" s="140" t="n"/>
      <c r="C64" s="140" t="n"/>
      <c r="D64" s="140" t="n"/>
      <c r="E64" s="140" t="n"/>
      <c r="F64" s="140" t="n"/>
      <c r="G64" s="140" t="n"/>
      <c r="H64" s="140" t="n"/>
      <c r="I64" s="140" t="n"/>
      <c r="J64" s="140" t="n"/>
      <c r="K64" s="140" t="n"/>
      <c r="L64" s="140" t="n"/>
      <c r="M64" s="140" t="n"/>
      <c r="N64" s="140" t="n"/>
    </row>
    <row r="65">
      <c r="A65" s="140" t="n"/>
      <c r="B65" s="140" t="n"/>
      <c r="C65" s="140" t="n"/>
      <c r="D65" s="140" t="n"/>
      <c r="E65" s="140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</row>
    <row r="66">
      <c r="A66" s="140" t="n"/>
      <c r="B66" s="140" t="n"/>
      <c r="C66" s="140" t="n"/>
      <c r="D66" s="140" t="n"/>
      <c r="E66" s="140" t="n"/>
      <c r="F66" s="140" t="n"/>
      <c r="G66" s="140" t="n"/>
      <c r="H66" s="140" t="n"/>
      <c r="I66" s="140" t="n"/>
      <c r="J66" s="140" t="n"/>
      <c r="K66" s="140" t="n"/>
      <c r="L66" s="140" t="n"/>
      <c r="M66" s="140" t="n"/>
      <c r="N66" s="140" t="n"/>
    </row>
    <row r="67">
      <c r="A67" s="140" t="n"/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</row>
    <row r="68">
      <c r="A68" s="140" t="n"/>
      <c r="B68" s="140" t="n"/>
      <c r="C68" s="140" t="n"/>
      <c r="D68" s="140" t="n"/>
      <c r="E68" s="140" t="n"/>
      <c r="F68" s="140" t="n"/>
      <c r="G68" s="140" t="n"/>
      <c r="H68" s="140" t="n"/>
      <c r="I68" s="140" t="n"/>
      <c r="J68" s="140" t="n"/>
      <c r="K68" s="140" t="n"/>
      <c r="L68" s="140" t="n"/>
      <c r="M68" s="140" t="n"/>
      <c r="N68" s="140" t="n"/>
    </row>
    <row r="69">
      <c r="A69" s="140" t="n"/>
      <c r="B69" s="140" t="n"/>
      <c r="C69" s="140" t="n"/>
      <c r="D69" s="140" t="n"/>
      <c r="E69" s="140" t="n"/>
      <c r="F69" s="140" t="n"/>
      <c r="G69" s="140" t="n"/>
      <c r="H69" s="140" t="n"/>
      <c r="I69" s="140" t="n"/>
      <c r="J69" s="140" t="n"/>
      <c r="K69" s="140" t="n"/>
      <c r="L69" s="140" t="n"/>
      <c r="M69" s="140" t="n"/>
      <c r="N69" s="140" t="n"/>
    </row>
    <row r="70">
      <c r="A70" s="140" t="n"/>
      <c r="B70" s="140" t="n"/>
      <c r="C70" s="140" t="n"/>
      <c r="D70" s="140" t="n"/>
      <c r="E70" s="140" t="n"/>
      <c r="F70" s="140" t="n"/>
      <c r="G70" s="140" t="n"/>
      <c r="H70" s="140" t="n"/>
      <c r="I70" s="140" t="n"/>
      <c r="J70" s="140" t="n"/>
      <c r="K70" s="140" t="n"/>
      <c r="L70" s="140" t="n"/>
      <c r="M70" s="140" t="n"/>
      <c r="N70" s="140" t="n"/>
    </row>
    <row r="71">
      <c r="A71" s="140" t="n"/>
      <c r="B71" s="140" t="n"/>
      <c r="C71" s="140" t="n"/>
      <c r="D71" s="140" t="n"/>
      <c r="E71" s="140" t="n"/>
      <c r="F71" s="140" t="n"/>
      <c r="G71" s="140" t="n"/>
      <c r="H71" s="140" t="n"/>
      <c r="I71" s="140" t="n"/>
      <c r="J71" s="140" t="n"/>
      <c r="K71" s="140" t="n"/>
      <c r="L71" s="140" t="n"/>
      <c r="M71" s="140" t="n"/>
      <c r="N71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2" customWidth="1" min="3" max="3"/>
    <col width="45" customWidth="1" min="4" max="4"/>
    <col width="20" customWidth="1" min="5" max="5"/>
    <col width="10" customWidth="1" min="6" max="6"/>
    <col width="10" customWidth="1" min="7" max="7"/>
    <col width="15" customWidth="1" min="8" max="8"/>
    <col width="18" customWidth="1" min="9" max="9"/>
    <col width="26" customWidth="1" min="10" max="10"/>
    <col width="14" customWidth="1" min="11" max="11"/>
    <col width="45" customWidth="1" min="12" max="12"/>
  </cols>
  <sheetData>
    <row r="1">
      <c r="A1" s="38" t="inlineStr">
        <is>
          <t>ГЕНЕРАЛЬНАЯ МАТРИЦА БЮДЖЕТА И КОМПЛЕКТАЦИИ (418 386,41 ₽)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>
      <c r="A2" s="39" t="inlineStr">
        <is>
          <t>Полная структура расходов Фрунзе 17 | Точная сверка с листом «Факт расходов» (1-в-1 до копейки, все 47 позиций)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s="39" t="inlineStr">
        <is>
          <t>💡 Используй слева значки [-] и [+] для сворачивания блоков (Материалы, Работы, Юр. расходы), либо фильтр по Зоне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s="162" t="inlineStr">
        <is>
          <t>№ в Факте</t>
        </is>
      </c>
      <c r="B4" s="162" t="inlineStr">
        <is>
          <t>Зона / Помещение</t>
        </is>
      </c>
      <c r="C4" s="162" t="inlineStr">
        <is>
          <t>Категория</t>
        </is>
      </c>
      <c r="D4" s="162" t="inlineStr">
        <is>
          <t>Наименование расхода</t>
        </is>
      </c>
      <c r="E4" s="162" t="inlineStr">
        <is>
          <t>Артикул / Код</t>
        </is>
      </c>
      <c r="F4" s="162" t="inlineStr">
        <is>
          <t>Ед. изм.</t>
        </is>
      </c>
      <c r="G4" s="162" t="inlineStr">
        <is>
          <t>Кол-во</t>
        </is>
      </c>
      <c r="H4" s="162" t="inlineStr">
        <is>
          <t>Цена / ед. (₽)</t>
        </is>
      </c>
      <c r="I4" s="162" t="inlineStr">
        <is>
          <t>Сумма (₽)</t>
        </is>
      </c>
      <c r="J4" s="162" t="inlineStr">
        <is>
          <t>Поставщик / Подрядчик</t>
        </is>
      </c>
      <c r="K4" s="162" t="inlineStr">
        <is>
          <t>Ссылка / Документ</t>
        </is>
      </c>
      <c r="L4" s="162" t="inlineStr">
        <is>
          <t>Примечание (Фрунзе 17)</t>
        </is>
      </c>
    </row>
    <row r="5">
      <c r="A5" s="205" t="inlineStr"/>
      <c r="B5" s="205" t="inlineStr">
        <is>
          <t>🛁 БЛОК 1: СТРОИТЕЛЬНЫЕ И ЧИСТОВЫЕ МАТЕРИАЛЫ «ЛЕМАНА ПРО» (16 ЧЕКОВ)</t>
        </is>
      </c>
      <c r="C5" s="205" t="inlineStr"/>
      <c r="D5" s="205" t="inlineStr"/>
      <c r="E5" s="205" t="inlineStr"/>
      <c r="F5" s="205" t="inlineStr"/>
      <c r="G5" s="205" t="inlineStr"/>
      <c r="H5" s="205" t="inlineStr"/>
      <c r="I5" s="205" t="inlineStr"/>
      <c r="J5" s="205" t="inlineStr"/>
      <c r="K5" s="205" t="inlineStr"/>
      <c r="L5" s="205" t="inlineStr"/>
    </row>
    <row r="6">
      <c r="A6" s="62" t="n">
        <v>8</v>
      </c>
      <c r="B6" s="62" t="inlineStr">
        <is>
          <t>Расходники</t>
        </is>
      </c>
      <c r="C6" s="62" t="inlineStr">
        <is>
          <t>Пылесос</t>
        </is>
      </c>
      <c r="D6" s="44" t="inlineStr">
        <is>
          <t>Мешки для пылесоса синт. 12л (5 шт) — Леруа/Лемана</t>
        </is>
      </c>
      <c r="E6" s="62" t="inlineStr">
        <is>
          <t>4607086338088</t>
        </is>
      </c>
      <c r="F6" s="62" t="inlineStr">
        <is>
          <t>упак.</t>
        </is>
      </c>
      <c r="G6" s="216" t="n">
        <v>1</v>
      </c>
      <c r="H6" s="173" t="n">
        <v>717</v>
      </c>
      <c r="I6" s="217">
        <f>G6*H6</f>
        <v/>
      </c>
      <c r="J6" s="44" t="inlineStr">
        <is>
          <t>ООО Ле Монлид (Лемана ПРО)</t>
        </is>
      </c>
      <c r="K6" s="174">
        <f>HYPERLINK("https://lemanapro.ru/search/?q=мешки+для+пылесоса+12л"; "Открыть ↗")</f>
        <v/>
      </c>
      <c r="L6" s="44" t="inlineStr">
        <is>
          <t>Чек 3831 от 23.08.2026: Сбор пыли штробления</t>
        </is>
      </c>
    </row>
    <row r="7">
      <c r="A7" s="64" t="n">
        <v>9</v>
      </c>
      <c r="B7" s="64" t="inlineStr">
        <is>
          <t>Инструмент</t>
        </is>
      </c>
      <c r="C7" s="64" t="inlineStr">
        <is>
          <t>Демонтаж</t>
        </is>
      </c>
      <c r="D7" s="49" t="inlineStr">
        <is>
          <t>Лом-гвоздодер, мешки 15шт, лента, перчатки 6п, опрыскиватель</t>
        </is>
      </c>
      <c r="E7" s="64" t="inlineStr">
        <is>
          <t>4603333000001</t>
        </is>
      </c>
      <c r="F7" s="64" t="inlineStr">
        <is>
          <t>компл.</t>
        </is>
      </c>
      <c r="G7" s="218" t="n">
        <v>1</v>
      </c>
      <c r="H7" s="172" t="n">
        <v>1830</v>
      </c>
      <c r="I7" s="219">
        <f>G7*H7</f>
        <v/>
      </c>
      <c r="J7" s="49" t="inlineStr">
        <is>
          <t>ООО Ле Монлид (Лемана ПРО)</t>
        </is>
      </c>
      <c r="K7" s="175">
        <f>HYPERLINK("https://lemanapro.ru/search/?q=лом+гвоздодер"; "Открыть ↗")</f>
        <v/>
      </c>
      <c r="L7" s="49" t="inlineStr">
        <is>
          <t>Чек 3832 от 23.08.2026: Инструмент демонтажа</t>
        </is>
      </c>
    </row>
    <row r="8">
      <c r="A8" s="62" t="n">
        <v>25</v>
      </c>
      <c r="B8" s="62" t="inlineStr">
        <is>
          <t>Черновые стены</t>
        </is>
      </c>
      <c r="C8" s="62" t="inlineStr">
        <is>
          <t>Шпатлевка / Грунт</t>
        </is>
      </c>
      <c r="D8" s="44" t="inlineStr">
        <is>
          <t>Материалы для зачистки и грунтования (шпатлевка 20кг, грунт 10л, СТ99, фильтр Rommer)</t>
        </is>
      </c>
      <c r="E8" s="62" t="inlineStr">
        <is>
          <t>3276006224277</t>
        </is>
      </c>
      <c r="F8" s="62" t="inlineStr">
        <is>
          <t>компл.</t>
        </is>
      </c>
      <c r="G8" s="216" t="n">
        <v>1</v>
      </c>
      <c r="H8" s="173" t="n">
        <v>4803.6</v>
      </c>
      <c r="I8" s="217">
        <f>G8*H8</f>
        <v/>
      </c>
      <c r="J8" s="44" t="inlineStr">
        <is>
          <t>ООО Ле Монлид (Лемана ПРО)</t>
        </is>
      </c>
      <c r="K8" s="174">
        <f>HYPERLINK("https://lemanapro.ru/search/?q=грунт+axton+10л"; "Открыть ↗")</f>
        <v/>
      </c>
      <c r="L8" s="44" t="inlineStr">
        <is>
          <t>Чек от 30.08.2026: Подготовка стен зала и с/у</t>
        </is>
      </c>
    </row>
    <row r="9">
      <c r="A9" s="64" t="n">
        <v>26</v>
      </c>
      <c r="B9" s="64" t="inlineStr">
        <is>
          <t>Инструмент</t>
        </is>
      </c>
      <c r="C9" s="64" t="inlineStr">
        <is>
          <t>Ёмкости</t>
        </is>
      </c>
      <c r="D9" s="49" t="inlineStr">
        <is>
          <t>Ведро строительное круглое 20 л (2 шт.)</t>
        </is>
      </c>
      <c r="E9" s="64" t="inlineStr">
        <is>
          <t>4610008470475</t>
        </is>
      </c>
      <c r="F9" s="64" t="inlineStr">
        <is>
          <t>шт.</t>
        </is>
      </c>
      <c r="G9" s="218" t="n">
        <v>2</v>
      </c>
      <c r="H9" s="172" t="n">
        <v>128</v>
      </c>
      <c r="I9" s="219">
        <f>G9*H9</f>
        <v/>
      </c>
      <c r="J9" s="49" t="inlineStr">
        <is>
          <t>ООО Ле Монлид (Лемана ПРО)</t>
        </is>
      </c>
      <c r="K9" s="175">
        <f>HYPERLINK("https://lemanapro.ru/search/?q=ведро+строительное+20л"; "Открыть ↗")</f>
        <v/>
      </c>
      <c r="L9" s="49" t="inlineStr">
        <is>
          <t>Чек от 30.08.2026: Ёмкости для замеса растворов</t>
        </is>
      </c>
    </row>
    <row r="10">
      <c r="A10" s="62" t="n">
        <v>28</v>
      </c>
      <c r="B10" s="62" t="inlineStr">
        <is>
          <t>Черновые стены</t>
        </is>
      </c>
      <c r="C10" s="62" t="inlineStr">
        <is>
          <t>Шпатлевка / Шпатели</t>
        </is>
      </c>
      <c r="D10" s="44" t="inlineStr">
        <is>
          <t>Материалы для подготовки стен (грунт Axton 10л 4шт, шпатлевка 20кг 2шт, шпатели, мешки)</t>
        </is>
      </c>
      <c r="E10" s="62" t="inlineStr">
        <is>
          <t>4601745004252</t>
        </is>
      </c>
      <c r="F10" s="62" t="inlineStr">
        <is>
          <t>компл.</t>
        </is>
      </c>
      <c r="G10" s="216" t="n">
        <v>1</v>
      </c>
      <c r="H10" s="173" t="n">
        <v>3308</v>
      </c>
      <c r="I10" s="217">
        <f>G10*H10</f>
        <v/>
      </c>
      <c r="J10" s="44" t="inlineStr">
        <is>
          <t>ООО Ле Монлид (Лемана ПРО)</t>
        </is>
      </c>
      <c r="K10" s="174">
        <f>HYPERLINK("https://lemanapro.ru/search/?q=шпатлевка+старатели+20кг"; "Открыть ↗")</f>
        <v/>
      </c>
      <c r="L10" s="44" t="inlineStr">
        <is>
          <t>Чек от 05.09.2026: Подготовка спальни</t>
        </is>
      </c>
    </row>
    <row r="11">
      <c r="A11" s="64" t="n">
        <v>30</v>
      </c>
      <c r="B11" s="64" t="inlineStr">
        <is>
          <t>Черновые стены</t>
        </is>
      </c>
      <c r="C11" s="64" t="inlineStr">
        <is>
          <t>Штукатурка / Бетонконтакт</t>
        </is>
      </c>
      <c r="D11" s="49" t="inlineStr">
        <is>
          <t>Материалы штукатурки и шпаклёвки (Бетонконтакт 12кг 3шт, финиш 5шт, штукатурка 3шт, правило, углы)</t>
        </is>
      </c>
      <c r="E11" s="64" t="inlineStr">
        <is>
          <t>4607017518816</t>
        </is>
      </c>
      <c r="F11" s="64" t="inlineStr">
        <is>
          <t>компл.</t>
        </is>
      </c>
      <c r="G11" s="218" t="n">
        <v>1</v>
      </c>
      <c r="H11" s="172" t="n">
        <v>8162</v>
      </c>
      <c r="I11" s="219">
        <f>G11*H11</f>
        <v/>
      </c>
      <c r="J11" s="49" t="inlineStr">
        <is>
          <t>ООО Ле Монлид (Лемана ПРО)</t>
        </is>
      </c>
      <c r="K11" s="175">
        <f>HYPERLINK("https://lemanapro.ru/search/?q=бетонконтакт+axton+12кг"; "Открыть ↗")</f>
        <v/>
      </c>
      <c r="L11" s="49" t="inlineStr">
        <is>
          <t>Чек от 06.09.2026: Основное выравнивание стен</t>
        </is>
      </c>
    </row>
    <row r="12">
      <c r="A12" s="62" t="n">
        <v>32</v>
      </c>
      <c r="B12" s="62" t="inlineStr">
        <is>
          <t>Черновые стены</t>
        </is>
      </c>
      <c r="C12" s="62" t="inlineStr">
        <is>
          <t>Шпаклёвка</t>
        </is>
      </c>
      <c r="D12" s="44" t="inlineStr">
        <is>
          <t>Материалы штукатурки и шпаклёвки (шпатлевка финиш 20кг, штукатурка 30кг 2шт, перчатки)</t>
        </is>
      </c>
      <c r="E12" s="62" t="inlineStr">
        <is>
          <t>4601745002814</t>
        </is>
      </c>
      <c r="F12" s="62" t="inlineStr">
        <is>
          <t>компл.</t>
        </is>
      </c>
      <c r="G12" s="216" t="n">
        <v>1</v>
      </c>
      <c r="H12" s="173" t="n">
        <v>1594</v>
      </c>
      <c r="I12" s="217">
        <f>G12*H12</f>
        <v/>
      </c>
      <c r="J12" s="44" t="inlineStr">
        <is>
          <t>ООО Ле Монлид (Лемана ПРО)</t>
        </is>
      </c>
      <c r="K12" s="174">
        <f>HYPERLINK("https://lemanapro.ru/search/?q=шпатлевка+финишная+старатели"; "Открыть ↗")</f>
        <v/>
      </c>
      <c r="L12" s="44" t="inlineStr">
        <is>
          <t>Чек от 08.09.2026: Добор смесей на спальню</t>
        </is>
      </c>
    </row>
    <row r="13">
      <c r="A13" s="64" t="n">
        <v>34</v>
      </c>
      <c r="B13" s="64" t="inlineStr">
        <is>
          <t>Санузел</t>
        </is>
      </c>
      <c r="C13" s="64" t="inlineStr">
        <is>
          <t>Санфаянс / Смесители</t>
        </is>
      </c>
      <c r="D13" s="49" t="inlineStr">
        <is>
          <t>Сантехника и санфаянс с/у (ванна Нерея 150, каркас Sensea, унитаз Sanita, раковина 60, смесители 2шт, душ, сифон)</t>
        </is>
      </c>
      <c r="E13" s="64" t="inlineStr">
        <is>
          <t>4600779023659</t>
        </is>
      </c>
      <c r="F13" s="64" t="inlineStr">
        <is>
          <t>компл.</t>
        </is>
      </c>
      <c r="G13" s="218" t="n">
        <v>1</v>
      </c>
      <c r="H13" s="172" t="n">
        <v>30021</v>
      </c>
      <c r="I13" s="219">
        <f>G13*H13</f>
        <v/>
      </c>
      <c r="J13" s="49" t="inlineStr">
        <is>
          <t>ООО Ле Монлид (Лемана ПРО)</t>
        </is>
      </c>
      <c r="K13" s="175">
        <f>HYPERLINK("https://lemanapro.ru/search/?q=4600779023659"; "Открыть ↗")</f>
        <v/>
      </c>
      <c r="L13" s="49" t="inlineStr">
        <is>
          <t>Чек от 13.09.2026 (заказ 774): Полный комплект с/у</t>
        </is>
      </c>
    </row>
    <row r="14">
      <c r="A14" s="62" t="n">
        <v>35</v>
      </c>
      <c r="B14" s="62" t="inlineStr">
        <is>
          <t>Санузел</t>
        </is>
      </c>
      <c r="C14" s="62" t="inlineStr">
        <is>
          <t>Керамогранит / Затирка</t>
        </is>
      </c>
      <c r="D14" s="44" t="inlineStr">
        <is>
          <t>Керамогранит Calacatta 60х120 (14 упак. / 20.16 м²) + затирка Ceresit CE 40 2кг 2шт</t>
        </is>
      </c>
      <c r="E14" s="62" t="inlineStr">
        <is>
          <t>4673766221451</t>
        </is>
      </c>
      <c r="F14" s="62" t="inlineStr">
        <is>
          <t>компл.</t>
        </is>
      </c>
      <c r="G14" s="216" t="n">
        <v>1</v>
      </c>
      <c r="H14" s="173" t="n">
        <v>33457</v>
      </c>
      <c r="I14" s="217">
        <f>G14*H14</f>
        <v/>
      </c>
      <c r="J14" s="44" t="inlineStr">
        <is>
          <t>ООО Ле Монлид (Лемана ПРО)</t>
        </is>
      </c>
      <c r="K14" s="174">
        <f>HYPERLINK("https://lemanapro.ru/search/?q=4673766221451"; "Открыть ↗")</f>
        <v/>
      </c>
      <c r="L14" s="44" t="inlineStr">
        <is>
          <t>Чек от 13.09.2026 (заказ 774): Плитка на все стены с/у</t>
        </is>
      </c>
    </row>
    <row r="15">
      <c r="A15" s="64" t="n">
        <v>36</v>
      </c>
      <c r="B15" s="64" t="inlineStr">
        <is>
          <t>Санузел</t>
        </is>
      </c>
      <c r="C15" s="64" t="inlineStr">
        <is>
          <t>Плиточный клей</t>
        </is>
      </c>
      <c r="D15" s="49" t="inlineStr">
        <is>
          <t>Плиточный клей Unis 2000 C1T 25 кг для формата 60х120 (13 мешков)</t>
        </is>
      </c>
      <c r="E15" s="64" t="inlineStr">
        <is>
          <t>4607005180063</t>
        </is>
      </c>
      <c r="F15" s="64" t="inlineStr">
        <is>
          <t>мешок</t>
        </is>
      </c>
      <c r="G15" s="218" t="n">
        <v>13</v>
      </c>
      <c r="H15" s="172" t="n">
        <v>382.53846</v>
      </c>
      <c r="I15" s="219">
        <f>G15*H15</f>
        <v/>
      </c>
      <c r="J15" s="49" t="inlineStr">
        <is>
          <t>ООО Ле Монлид (Лемана ПРО)</t>
        </is>
      </c>
      <c r="K15" s="175">
        <f>HYPERLINK("https://lemanapro.ru/search/?q=4607005180063"; "Открыть ↗")</f>
        <v/>
      </c>
      <c r="L15" s="49" t="inlineStr">
        <is>
          <t>Чек от 13.09.2026 (заказ 774): Клей под керамогранит</t>
        </is>
      </c>
    </row>
    <row r="16">
      <c r="A16" s="62" t="n">
        <v>37</v>
      </c>
      <c r="B16" s="62" t="inlineStr">
        <is>
          <t>Санузел</t>
        </is>
      </c>
      <c r="C16" s="62" t="inlineStr">
        <is>
          <t>СВП</t>
        </is>
      </c>
      <c r="D16" s="44" t="inlineStr">
        <is>
          <t>Система выравнивания плитки СВП DILWIS (зажимы 1 мм 200 шт, клинья 100 шт)</t>
        </is>
      </c>
      <c r="E16" s="62" t="inlineStr">
        <is>
          <t>4610085150475</t>
        </is>
      </c>
      <c r="F16" s="62" t="inlineStr">
        <is>
          <t>компл.</t>
        </is>
      </c>
      <c r="G16" s="216" t="n">
        <v>1</v>
      </c>
      <c r="H16" s="173" t="n">
        <v>853</v>
      </c>
      <c r="I16" s="217">
        <f>G16*H16</f>
        <v/>
      </c>
      <c r="J16" s="44" t="inlineStr">
        <is>
          <t>ООО Ле Монлид (Лемана ПРО)</t>
        </is>
      </c>
      <c r="K16" s="174">
        <f>HYPERLINK("https://lemanapro.ru/search/?q=4610085150475"; "Открыть ↗")</f>
        <v/>
      </c>
      <c r="L16" s="44" t="inlineStr">
        <is>
          <t>Чек от 13.09.2026 (заказ 774): Идеальный шов 1 мм</t>
        </is>
      </c>
    </row>
    <row r="17">
      <c r="A17" s="64" t="n">
        <v>38</v>
      </c>
      <c r="B17" s="64" t="inlineStr">
        <is>
          <t>Черновые стены</t>
        </is>
      </c>
      <c r="C17" s="64" t="inlineStr">
        <is>
          <t>Шпаклёвка</t>
        </is>
      </c>
      <c r="D17" s="49" t="inlineStr">
        <is>
          <t>Материалы для штукатурки и шпаклёвки (повторный добор: финиш 20кг, штукатурка 2шт)</t>
        </is>
      </c>
      <c r="E17" s="64" t="inlineStr">
        <is>
          <t>4601745000407</t>
        </is>
      </c>
      <c r="F17" s="64" t="inlineStr">
        <is>
          <t>компл.</t>
        </is>
      </c>
      <c r="G17" s="218" t="n">
        <v>1</v>
      </c>
      <c r="H17" s="172" t="n">
        <v>1594</v>
      </c>
      <c r="I17" s="219">
        <f>G17*H17</f>
        <v/>
      </c>
      <c r="J17" s="49" t="inlineStr">
        <is>
          <t>ООО Ле Монлид (Лемана ПРО)</t>
        </is>
      </c>
      <c r="K17" s="175">
        <f>HYPERLINK("https://lemanapro.ru/search/?q=штукатурка+старатели+30кг"; "Открыть ↗")</f>
        <v/>
      </c>
      <c r="L17" s="49" t="inlineStr">
        <is>
          <t>Чек от 13.09.2026: Добор смесей на гардероб</t>
        </is>
      </c>
    </row>
    <row r="18">
      <c r="A18" s="62" t="n">
        <v>39</v>
      </c>
      <c r="B18" s="62" t="inlineStr">
        <is>
          <t>Санузел</t>
        </is>
      </c>
      <c r="C18" s="62" t="inlineStr">
        <is>
          <t>Стяжка / Короба</t>
        </is>
      </c>
      <c r="D18" s="44" t="inlineStr">
        <is>
          <t>Материалы для стяжки пола и короба с/у (пескобетон М-300 6шт, Knauf 50х40, ГСП 2шт, фибра, саморезы, стамеска)</t>
        </is>
      </c>
      <c r="E18" s="62" t="inlineStr">
        <is>
          <t>4610007550932</t>
        </is>
      </c>
      <c r="F18" s="62" t="inlineStr">
        <is>
          <t>компл.</t>
        </is>
      </c>
      <c r="G18" s="216" t="n">
        <v>1</v>
      </c>
      <c r="H18" s="173" t="n">
        <v>3182.67</v>
      </c>
      <c r="I18" s="217">
        <f>G18*H18</f>
        <v/>
      </c>
      <c r="J18" s="44" t="inlineStr">
        <is>
          <t>ООО Ле Монлид (Лемана ПРО)</t>
        </is>
      </c>
      <c r="K18" s="174">
        <f>HYPERLINK("https://lemanapro.ru/search/?q=пескобетон+м300"; "Открыть ↗")</f>
        <v/>
      </c>
      <c r="L18" s="44" t="inlineStr">
        <is>
          <t>Чек №201 от 13.09.2026: Стяжка пола и стояк с/у</t>
        </is>
      </c>
    </row>
    <row r="19">
      <c r="A19" s="64" t="n">
        <v>45</v>
      </c>
      <c r="B19" s="64" t="inlineStr">
        <is>
          <t>Санузел</t>
        </is>
      </c>
      <c r="C19" s="64" t="inlineStr">
        <is>
          <t>Черновые стены / Гидроизоляция</t>
        </is>
      </c>
      <c r="D19" s="49" t="inlineStr">
        <is>
          <t>Штукатурка Старатели 8шт, гидроизоляция Unis 4кг, люк Fonet 200х250, маяки, профиль, фитинги, рулетки</t>
        </is>
      </c>
      <c r="E19" s="64" t="inlineStr">
        <is>
          <t>4601745000407</t>
        </is>
      </c>
      <c r="F19" s="64" t="inlineStr">
        <is>
          <t>компл.</t>
        </is>
      </c>
      <c r="G19" s="218" t="n">
        <v>1</v>
      </c>
      <c r="H19" s="172" t="n">
        <v>7827.6</v>
      </c>
      <c r="I19" s="219">
        <f>G19*H19</f>
        <v/>
      </c>
      <c r="J19" s="49" t="inlineStr">
        <is>
          <t>ООО Ле Монлид (Лемана ПРО)</t>
        </is>
      </c>
      <c r="K19" s="175">
        <f>HYPERLINK("https://lemanapro.ru/search/?q=4601745000407"; "Открыть ↗")</f>
        <v/>
      </c>
      <c r="L19" s="49" t="inlineStr">
        <is>
          <t>Чек от 20.09.2026 12:03: Выравнивание ванны под 90°, гидроизоляция, люк стояка</t>
        </is>
      </c>
    </row>
    <row r="20">
      <c r="A20" s="62" t="n">
        <v>46</v>
      </c>
      <c r="B20" s="62" t="inlineStr">
        <is>
          <t>Все зоны</t>
        </is>
      </c>
      <c r="C20" s="62" t="inlineStr">
        <is>
          <t>Радиаторы / Трубы</t>
        </is>
      </c>
      <c r="D20" s="44" t="inlineStr">
        <is>
          <t>Эмаль аэрозольная Luxens белая сатиновая и матовая 520 мл (2 шт.)</t>
        </is>
      </c>
      <c r="E20" s="62" t="inlineStr">
        <is>
          <t>3276007227604</t>
        </is>
      </c>
      <c r="F20" s="62" t="inlineStr">
        <is>
          <t>компл.</t>
        </is>
      </c>
      <c r="G20" s="216" t="n">
        <v>1</v>
      </c>
      <c r="H20" s="173" t="n">
        <v>648</v>
      </c>
      <c r="I20" s="217">
        <f>G20*H20</f>
        <v/>
      </c>
      <c r="J20" s="44" t="inlineStr">
        <is>
          <t>ООО Ле Монлид (Лемана ПРО)</t>
        </is>
      </c>
      <c r="K20" s="174">
        <f>HYPERLINK("https://lemanapro.ru/search/?q=3276007227604"; "Открыть ↗")</f>
        <v/>
      </c>
      <c r="L20" s="44" t="inlineStr">
        <is>
          <t>Чек №123 от 20.09.2026 12:39: Покраска чугунных радиаторов отопления и труб</t>
        </is>
      </c>
    </row>
    <row r="21">
      <c r="A21" s="64" t="n">
        <v>47</v>
      </c>
      <c r="B21" s="64" t="inlineStr">
        <is>
          <t>Санузел</t>
        </is>
      </c>
      <c r="C21" s="64" t="inlineStr">
        <is>
          <t>Стяжка / Добавки</t>
        </is>
      </c>
      <c r="D21" s="49" t="inlineStr">
        <is>
          <t>Ускоритель твердения Cemfix для стяжки пола, 1 литр (добавка в пескобетон М300)</t>
        </is>
      </c>
      <c r="E21" s="64" t="inlineStr">
        <is>
          <t>4650068600092</t>
        </is>
      </c>
      <c r="F21" s="64" t="inlineStr">
        <is>
          <t>шт.</t>
        </is>
      </c>
      <c r="G21" s="218" t="n">
        <v>1</v>
      </c>
      <c r="H21" s="172" t="n">
        <v>262</v>
      </c>
      <c r="I21" s="219">
        <f>G21*H21</f>
        <v/>
      </c>
      <c r="J21" s="49" t="inlineStr">
        <is>
          <t>ООО Ле Монлид (Лемана ПРО)</t>
        </is>
      </c>
      <c r="K21" s="175">
        <f>HYPERLINK("https://lemanapro.ru/search/?q=4650068600092"; "Открыть ↗")</f>
        <v/>
      </c>
      <c r="L21" s="49" t="inlineStr">
        <is>
          <t>Чек №138 от 20.09.2026 13:02: Ускорение набора прочности стяжки пола с/у</t>
        </is>
      </c>
    </row>
    <row r="22">
      <c r="A22" s="223" t="inlineStr"/>
      <c r="B22" s="223" t="inlineStr">
        <is>
          <t>ИТОГО МАТЕРИАЛЫ ЛЕМАНА ПРО (ПО ЧЕКАМ):</t>
        </is>
      </c>
      <c r="C22" s="223" t="inlineStr"/>
      <c r="D22" s="223" t="inlineStr"/>
      <c r="E22" s="223" t="inlineStr"/>
      <c r="F22" s="223" t="inlineStr"/>
      <c r="G22" s="223" t="inlineStr"/>
      <c r="H22" s="223" t="inlineStr"/>
      <c r="I22" s="224">
        <f>SUM(I6:I21)</f>
        <v/>
      </c>
      <c r="J22" s="223" t="inlineStr"/>
      <c r="K22" s="223" t="inlineStr"/>
      <c r="L22" s="223" t="inlineStr"/>
    </row>
    <row r="23">
      <c r="A23" s="207" t="inlineStr"/>
      <c r="B23" s="207" t="inlineStr">
        <is>
          <t>⚡ БЛОК 2: ИНЖЕНЕРНЫЕ МАТЕРИАЛЫ, ДВЕРИ И ОСНАЩЕНИЕ (СПЕЦПОСТАВЩИКИ)</t>
        </is>
      </c>
      <c r="C23" s="207" t="inlineStr"/>
      <c r="D23" s="207" t="inlineStr"/>
      <c r="E23" s="207" t="inlineStr"/>
      <c r="F23" s="207" t="inlineStr"/>
      <c r="G23" s="207" t="inlineStr"/>
      <c r="H23" s="207" t="inlineStr"/>
      <c r="I23" s="207" t="inlineStr"/>
      <c r="J23" s="207" t="inlineStr"/>
      <c r="K23" s="207" t="inlineStr"/>
      <c r="L23" s="207" t="inlineStr"/>
    </row>
    <row r="24">
      <c r="A24" s="62" t="n">
        <v>6</v>
      </c>
      <c r="B24" s="62" t="inlineStr">
        <is>
          <t>Расходники</t>
        </is>
      </c>
      <c r="C24" s="62" t="inlineStr">
        <is>
          <t>Демонтаж</t>
        </is>
      </c>
      <c r="D24" s="44" t="inlineStr">
        <is>
          <t>Мешки мусорные плотные, перчатки рабочие (хозмаг/рынок)</t>
        </is>
      </c>
      <c r="E24" s="62" t="inlineStr">
        <is>
          <t>ХОЗМАГ-МЕШКИ</t>
        </is>
      </c>
      <c r="F24" s="62" t="inlineStr">
        <is>
          <t>компл.</t>
        </is>
      </c>
      <c r="G24" s="216" t="n">
        <v>1</v>
      </c>
      <c r="H24" s="173" t="n">
        <v>300</v>
      </c>
      <c r="I24" s="217">
        <f>G24*H24</f>
        <v/>
      </c>
      <c r="J24" s="44" t="inlineStr">
        <is>
          <t>Хозмаг / Рынок</t>
        </is>
      </c>
      <c r="K24" s="174">
        <f>HYPERLINK("https://www.avito.ru/tula/remont_i_stroitelstvo?q=мешки+мусорные+строительные"; "Открыть ↗")</f>
        <v/>
      </c>
      <c r="L24" s="44" t="inlineStr">
        <is>
          <t>Оперативная докупка расходников для демонтажа</t>
        </is>
      </c>
    </row>
    <row r="25">
      <c r="A25" s="64" t="n">
        <v>11</v>
      </c>
      <c r="B25" s="64" t="inlineStr">
        <is>
          <t>Сантехника</t>
        </is>
      </c>
      <c r="C25" s="64" t="inlineStr">
        <is>
          <t>Учёт воды</t>
        </is>
      </c>
      <c r="D25" s="49" t="inlineStr">
        <is>
          <t>Счётчик горячей/холодной воды + кран на ввод (материалы)</t>
        </is>
      </c>
      <c r="E25" s="64" t="inlineStr">
        <is>
          <t>СЧЕТЧИК-ВОДЫ</t>
        </is>
      </c>
      <c r="F25" s="64" t="inlineStr">
        <is>
          <t>компл.</t>
        </is>
      </c>
      <c r="G25" s="218" t="n">
        <v>1</v>
      </c>
      <c r="H25" s="172" t="n">
        <v>2100</v>
      </c>
      <c r="I25" s="219">
        <f>G25*H25</f>
        <v/>
      </c>
      <c r="J25" s="49" t="inlineStr">
        <is>
          <t>Вадим (сантехник УК)</t>
        </is>
      </c>
      <c r="K25" s="175">
        <f>HYPERLINK("https://lemanapro.ru/search/?q=счетчик+воды+универсальный"; "Открыть ↗")</f>
        <v/>
      </c>
      <c r="L25" s="49" t="inlineStr">
        <is>
          <t>Замена вводных узлов и прибора учёта</t>
        </is>
      </c>
    </row>
    <row r="26">
      <c r="A26" s="62" t="n">
        <v>14</v>
      </c>
      <c r="B26" s="62" t="inlineStr">
        <is>
          <t>Сантехника</t>
        </is>
      </c>
      <c r="C26" s="62" t="inlineStr">
        <is>
          <t>Учёт воды</t>
        </is>
      </c>
      <c r="D26" s="44" t="inlineStr">
        <is>
          <t>Покупка и установка счётчика и кранов (доплата за фитинги и муфты)</t>
        </is>
      </c>
      <c r="E26" s="62" t="inlineStr">
        <is>
          <t>ФИТИНГИ-САНТЕХ</t>
        </is>
      </c>
      <c r="F26" s="62" t="inlineStr">
        <is>
          <t>компл.</t>
        </is>
      </c>
      <c r="G26" s="216" t="n">
        <v>1</v>
      </c>
      <c r="H26" s="173" t="n">
        <v>2000</v>
      </c>
      <c r="I26" s="217">
        <f>G26*H26</f>
        <v/>
      </c>
      <c r="J26" s="44" t="inlineStr">
        <is>
          <t>Вадим (сантехник УК)</t>
        </is>
      </c>
      <c r="K26" s="174">
        <f>HYPERLINK("https://lemanapro.ru/search/?q=шаровый+кран+1/2"; "Открыть ↗")</f>
        <v/>
      </c>
      <c r="L26" s="44" t="inlineStr">
        <is>
          <t>Латунные фитинги, муфты, уплотнители</t>
        </is>
      </c>
    </row>
    <row r="27">
      <c r="A27" s="64" t="n">
        <v>15</v>
      </c>
      <c r="B27" s="64" t="inlineStr">
        <is>
          <t>Входная группа</t>
        </is>
      </c>
      <c r="C27" s="64" t="inlineStr">
        <is>
          <t>Двери</t>
        </is>
      </c>
      <c r="D27" s="49" t="inlineStr">
        <is>
          <t>Покупка входной металлической двери с внутренней МДФ-панелью</t>
        </is>
      </c>
      <c r="E27" s="64" t="inlineStr">
        <is>
          <t>ДВЕРЬ-ВХОД-МДФ</t>
        </is>
      </c>
      <c r="F27" s="64" t="inlineStr">
        <is>
          <t>шт.</t>
        </is>
      </c>
      <c r="G27" s="218" t="n">
        <v>1</v>
      </c>
      <c r="H27" s="172" t="n">
        <v>16000</v>
      </c>
      <c r="I27" s="219">
        <f>G27*H27</f>
        <v/>
      </c>
      <c r="J27" s="49" t="inlineStr">
        <is>
          <t>Владимир (двери)</t>
        </is>
      </c>
      <c r="K27" s="175">
        <f>HYPERLINK("https://www.avito.ru/tula/remont_i_stroitelstvo?q=входная+металлическая+дверь+мдф"; "Открыть ↗")</f>
        <v/>
      </c>
      <c r="L27" s="49" t="inlineStr">
        <is>
          <t>Металл 1.5 мм, МДФ-панель, надежные замки</t>
        </is>
      </c>
    </row>
    <row r="28">
      <c r="A28" s="62" t="n">
        <v>16</v>
      </c>
      <c r="B28" s="62" t="inlineStr">
        <is>
          <t>Входная группа</t>
        </is>
      </c>
      <c r="C28" s="62" t="inlineStr">
        <is>
          <t>Логистика</t>
        </is>
      </c>
      <c r="D28" s="44" t="inlineStr">
        <is>
          <t>Доставка входной металлической двери на объект</t>
        </is>
      </c>
      <c r="E28" s="62" t="inlineStr">
        <is>
          <t>ДОСТАВКА-ДВЕРЬ</t>
        </is>
      </c>
      <c r="F28" s="62" t="inlineStr">
        <is>
          <t>рейс</t>
        </is>
      </c>
      <c r="G28" s="216" t="n">
        <v>1</v>
      </c>
      <c r="H28" s="173" t="n">
        <v>1500</v>
      </c>
      <c r="I28" s="217">
        <f>G28*H28</f>
        <v/>
      </c>
      <c r="J28" s="44" t="inlineStr">
        <is>
          <t>Владимир / Доставка</t>
        </is>
      </c>
      <c r="K28" s="174">
        <f>HYPERLINK("https://www.avito.ru/tula/predlozheniya_uslug?q=доставка+дверей+грузоперевозки"; "Открыть ↗")</f>
        <v/>
      </c>
      <c r="L28" s="44" t="inlineStr">
        <is>
          <t>Транспортировка двери на ул. Фрунзе 17</t>
        </is>
      </c>
    </row>
    <row r="29">
      <c r="A29" s="64" t="n">
        <v>17</v>
      </c>
      <c r="B29" s="64" t="inlineStr">
        <is>
          <t>Электрика</t>
        </is>
      </c>
      <c r="C29" s="64" t="inlineStr">
        <is>
          <t>Щит / Автоматика</t>
        </is>
      </c>
      <c r="D29" s="49" t="inlineStr">
        <is>
          <t>Черновые материалы электрики (щит 18м, новый электросчётчик, автоматы, УЗО, гофра)</t>
        </is>
      </c>
      <c r="E29" s="64" t="inlineStr">
        <is>
          <t>ЩИТ-АВТ-КОМПЛЕКТ</t>
        </is>
      </c>
      <c r="F29" s="64" t="inlineStr">
        <is>
          <t>компл.</t>
        </is>
      </c>
      <c r="G29" s="218" t="n">
        <v>1</v>
      </c>
      <c r="H29" s="172" t="n">
        <v>16500</v>
      </c>
      <c r="I29" s="219">
        <f>G29*H29</f>
        <v/>
      </c>
      <c r="J29" s="49" t="inlineStr">
        <is>
          <t>Анатолий / Поставщик</t>
        </is>
      </c>
      <c r="K29" s="175">
        <f>HYPERLINK("https://lemanapro.ru/search/?q=щит+встраиваемый+18+модулей"; "Открыть ↗")</f>
        <v/>
      </c>
      <c r="L29" s="49" t="inlineStr">
        <is>
          <t>Комплектная начинка щита и прибор учёта</t>
        </is>
      </c>
    </row>
    <row r="30">
      <c r="A30" s="62" t="n">
        <v>19</v>
      </c>
      <c r="B30" s="62" t="inlineStr">
        <is>
          <t>Электрика</t>
        </is>
      </c>
      <c r="C30" s="62" t="inlineStr">
        <is>
          <t>Кабель</t>
        </is>
      </c>
      <c r="D30" s="44" t="inlineStr">
        <is>
          <t>Кабель силовой ВВГнг-LS (ГОСТ 3х2.5 и 3х1.5 для всех трасс)</t>
        </is>
      </c>
      <c r="E30" s="62" t="inlineStr">
        <is>
          <t>ВВГнг-LS-ГОСТ-1</t>
        </is>
      </c>
      <c r="F30" s="62" t="inlineStr">
        <is>
          <t>бухта</t>
        </is>
      </c>
      <c r="G30" s="216" t="n">
        <v>1</v>
      </c>
      <c r="H30" s="173" t="n">
        <v>18000</v>
      </c>
      <c r="I30" s="217">
        <f>G30*H30</f>
        <v/>
      </c>
      <c r="J30" s="44" t="inlineStr">
        <is>
          <t>Электромонтаж / Поставщик</t>
        </is>
      </c>
      <c r="K30" s="174">
        <f>HYPERLINK("https://lemanapro.ru/search/?q=кабель+ВВГнг-LS+3х2.5"; "Открыть ↗")</f>
        <v/>
      </c>
      <c r="L30" s="44" t="inlineStr">
        <is>
          <t>Силовой кабель ГОСТ под розетки и свет</t>
        </is>
      </c>
    </row>
    <row r="31">
      <c r="A31" s="64" t="n">
        <v>20</v>
      </c>
      <c r="B31" s="64" t="inlineStr">
        <is>
          <t>Электрика</t>
        </is>
      </c>
      <c r="C31" s="64" t="inlineStr">
        <is>
          <t>Крепёж</t>
        </is>
      </c>
      <c r="D31" s="49" t="inlineStr">
        <is>
          <t>Стяжки нейлоновые и крепёж для монтажа кабеля</t>
        </is>
      </c>
      <c r="E31" s="64" t="inlineStr">
        <is>
          <t>КРЕПЕЖ-КАБЕЛЬ</t>
        </is>
      </c>
      <c r="F31" s="64" t="inlineStr">
        <is>
          <t>компл.</t>
        </is>
      </c>
      <c r="G31" s="218" t="n">
        <v>1</v>
      </c>
      <c r="H31" s="172" t="n">
        <v>1000</v>
      </c>
      <c r="I31" s="219">
        <f>G31*H31</f>
        <v/>
      </c>
      <c r="J31" s="49" t="inlineStr">
        <is>
          <t>Хозмаг / Электромонтаж</t>
        </is>
      </c>
      <c r="K31" s="175">
        <f>HYPERLINK("https://lemanapro.ru/search/?q=дюбель+хомут+для+кабеля"; "Открыть ↗")</f>
        <v/>
      </c>
      <c r="L31" s="49" t="inlineStr">
        <is>
          <t>Дюбель-хомуты и стяжки для трасс</t>
        </is>
      </c>
    </row>
    <row r="32">
      <c r="A32" s="62" t="n">
        <v>23</v>
      </c>
      <c r="B32" s="62" t="inlineStr">
        <is>
          <t>Электрика</t>
        </is>
      </c>
      <c r="C32" s="62" t="inlineStr">
        <is>
          <t>Кабель</t>
        </is>
      </c>
      <c r="D32" s="44" t="inlineStr">
        <is>
          <t>Докупка силового кабеля ВВГнг-LS (дополнительный метраж трасс)</t>
        </is>
      </c>
      <c r="E32" s="62" t="inlineStr">
        <is>
          <t>ВВГнг-LS-ГОСТ-2</t>
        </is>
      </c>
      <c r="F32" s="62" t="inlineStr">
        <is>
          <t>бухта</t>
        </is>
      </c>
      <c r="G32" s="216" t="n">
        <v>1</v>
      </c>
      <c r="H32" s="173" t="n">
        <v>13000</v>
      </c>
      <c r="I32" s="217">
        <f>G32*H32</f>
        <v/>
      </c>
      <c r="J32" s="44" t="inlineStr">
        <is>
          <t>Электромонтаж / Поставщик</t>
        </is>
      </c>
      <c r="K32" s="174">
        <f>HYPERLINK("https://lemanapro.ru/search/?q=кабель+ВВГнг-LS+3х1.5"; "Открыть ↗")</f>
        <v/>
      </c>
      <c r="L32" s="44" t="inlineStr">
        <is>
          <t>Дополнительный кабель на трассы кухни и коридора</t>
        </is>
      </c>
    </row>
    <row r="33">
      <c r="A33" s="64" t="n">
        <v>27</v>
      </c>
      <c r="B33" s="64" t="inlineStr">
        <is>
          <t>Оснащение</t>
        </is>
      </c>
      <c r="C33" s="64" t="inlineStr">
        <is>
          <t>Инвентарь</t>
        </is>
      </c>
      <c r="D33" s="49" t="inlineStr">
        <is>
          <t>Портативная акустика Xiaomi Bluetooth Speaker Essential Green</t>
        </is>
      </c>
      <c r="E33" s="64" t="inlineStr">
        <is>
          <t>XIAOMI-SPK-ESS</t>
        </is>
      </c>
      <c r="F33" s="64" t="inlineStr">
        <is>
          <t>шт.</t>
        </is>
      </c>
      <c r="G33" s="218" t="n">
        <v>1</v>
      </c>
      <c r="H33" s="172" t="n">
        <v>1250</v>
      </c>
      <c r="I33" s="219">
        <f>G33*H33</f>
        <v/>
      </c>
      <c r="J33" s="49" t="inlineStr">
        <is>
          <t>ООО ДНС Ритейл (DNS)</t>
        </is>
      </c>
      <c r="K33" s="175">
        <f>HYPERLINK("https://www.dns-shop.ru/search/?q=Xiaomi+Bluetooth+Speaker"; "Открыть ↗")</f>
        <v/>
      </c>
      <c r="L33" s="49" t="inlineStr">
        <is>
          <t>Акустическое оснащение объекта для бригад</t>
        </is>
      </c>
    </row>
    <row r="34">
      <c r="A34" s="62" t="n">
        <v>29</v>
      </c>
      <c r="B34" s="62" t="inlineStr">
        <is>
          <t>Оснащение</t>
        </is>
      </c>
      <c r="C34" s="62" t="inlineStr">
        <is>
          <t>Хознужды</t>
        </is>
      </c>
      <c r="D34" s="44" t="inlineStr">
        <is>
          <t>Хозрасходы на объект: салфетки влажные и питьевая вода для мастеров</t>
        </is>
      </c>
      <c r="E34" s="62" t="inlineStr">
        <is>
          <t>ХОЗ-ВОДА-САЛФЕТКИ</t>
        </is>
      </c>
      <c r="F34" s="62" t="inlineStr">
        <is>
          <t>компл.</t>
        </is>
      </c>
      <c r="G34" s="216" t="n">
        <v>1</v>
      </c>
      <c r="H34" s="173" t="n">
        <v>520</v>
      </c>
      <c r="I34" s="217">
        <f>G34*H34</f>
        <v/>
      </c>
      <c r="J34" s="44" t="inlineStr">
        <is>
          <t>Хозмаг / Продукты</t>
        </is>
      </c>
      <c r="K34" s="174">
        <f>HYPERLINK("https://www.avito.ru/tula/produkty_pitaniya?q=питьевая+вода+19л"; "Открыть ↗")</f>
        <v/>
      </c>
      <c r="L34" s="44" t="inlineStr">
        <is>
          <t>Бытовое снабжение объекта</t>
        </is>
      </c>
    </row>
    <row r="35">
      <c r="A35" s="64" t="n">
        <v>43</v>
      </c>
      <c r="B35" s="64" t="inlineStr">
        <is>
          <t>Санузел</t>
        </is>
      </c>
      <c r="C35" s="64" t="inlineStr">
        <is>
          <t>Канализация</t>
        </is>
      </c>
      <c r="D35" s="49" t="inlineStr">
        <is>
          <t>Канализация с/у (муфта-восстановитель раструба 110/110, трубы ПП 50, тройник 110/50, заглушка, отводы)</t>
        </is>
      </c>
      <c r="E35" s="64" t="inlineStr">
        <is>
          <t>КАНАЛ-СУ-110-50</t>
        </is>
      </c>
      <c r="F35" s="64" t="inlineStr">
        <is>
          <t>компл.</t>
        </is>
      </c>
      <c r="G35" s="218" t="n">
        <v>1</v>
      </c>
      <c r="H35" s="172" t="n">
        <v>2988</v>
      </c>
      <c r="I35" s="219">
        <f>G35*H35</f>
        <v/>
      </c>
      <c r="J35" s="49" t="inlineStr">
        <is>
          <t>ИП Кучеров М.И. (Полимерстрой)</t>
        </is>
      </c>
      <c r="K35" s="175">
        <f>HYPERLINK("https://www.avito.ru/tula/remont_i_stroitelstvo?q=восстановитель+раструба+110"; "Открыть ↗")</f>
        <v/>
      </c>
      <c r="L35" s="49" t="inlineStr">
        <is>
          <t>Чек от 15.09.2026: Муфта-восстановитель 110/110, разводка труб под ванну, раковину, унитаз</t>
        </is>
      </c>
    </row>
    <row r="36">
      <c r="A36" s="62" t="n">
        <v>44</v>
      </c>
      <c r="B36" s="62" t="inlineStr">
        <is>
          <t>Санузел / Кухня</t>
        </is>
      </c>
      <c r="C36" s="62" t="inlineStr">
        <is>
          <t>Водоснабжение</t>
        </is>
      </c>
      <c r="D36" s="44" t="inlineStr">
        <is>
          <t>Трубы армированные Faser 20х2.8 12м, настенная планка смесителя, кран DN15, муфты, клипсы</t>
        </is>
      </c>
      <c r="E36" s="62" t="inlineStr">
        <is>
          <t>PPR-FASER-WATSON</t>
        </is>
      </c>
      <c r="F36" s="62" t="inlineStr">
        <is>
          <t>компл.</t>
        </is>
      </c>
      <c r="G36" s="216" t="n">
        <v>1</v>
      </c>
      <c r="H36" s="173" t="n">
        <v>3139.54</v>
      </c>
      <c r="I36" s="217">
        <f>G36*H36</f>
        <v/>
      </c>
      <c r="J36" s="44" t="inlineStr">
        <is>
          <t>ТС «Ваттсон» (Центргазсервис)</t>
        </is>
      </c>
      <c r="K36" s="174">
        <f>HYPERLINK("https://wattson.ru/search/?q=Faser+20"; "Открыть ↗")</f>
        <v/>
      </c>
      <c r="L36" s="44" t="inlineStr">
        <is>
          <t>Чек №23 от 19.09.2026: Разводка труб ХВС/ГВС, шаровой кран ввода, планка под смеситель ванны</t>
        </is>
      </c>
    </row>
    <row r="37">
      <c r="A37" s="223" t="inlineStr"/>
      <c r="B37" s="223" t="inlineStr">
        <is>
          <t>ИТОГО МАТЕРИАЛЫ СПЕЦПОСТАВЩИКОВ:</t>
        </is>
      </c>
      <c r="C37" s="223" t="inlineStr"/>
      <c r="D37" s="223" t="inlineStr"/>
      <c r="E37" s="223" t="inlineStr"/>
      <c r="F37" s="223" t="inlineStr"/>
      <c r="G37" s="223" t="inlineStr"/>
      <c r="H37" s="223" t="inlineStr"/>
      <c r="I37" s="224">
        <f>SUM(I24:I36)</f>
        <v/>
      </c>
      <c r="J37" s="223" t="inlineStr"/>
      <c r="K37" s="223" t="inlineStr"/>
      <c r="L37" s="223" t="inlineStr"/>
    </row>
    <row r="38">
      <c r="A38" s="208" t="inlineStr"/>
      <c r="B38" s="208" t="inlineStr">
        <is>
          <t>👷‍♂️ БЛОК 3: РАБОТЫ МАСТЕРОВ, ОТДЕЛКА, ДЕМОНТАЖ И ЛОГИСТИКА</t>
        </is>
      </c>
      <c r="C38" s="208" t="inlineStr"/>
      <c r="D38" s="208" t="inlineStr"/>
      <c r="E38" s="208" t="inlineStr"/>
      <c r="F38" s="208" t="inlineStr"/>
      <c r="G38" s="208" t="inlineStr"/>
      <c r="H38" s="208" t="inlineStr"/>
      <c r="I38" s="208" t="inlineStr"/>
      <c r="J38" s="208" t="inlineStr"/>
      <c r="K38" s="208" t="inlineStr"/>
      <c r="L38" s="208" t="inlineStr"/>
    </row>
    <row r="39">
      <c r="A39" s="64" t="n">
        <v>3</v>
      </c>
      <c r="B39" s="64" t="inlineStr">
        <is>
          <t>Безопасность</t>
        </is>
      </c>
      <c r="C39" s="64" t="inlineStr">
        <is>
          <t>Вскрытие</t>
        </is>
      </c>
      <c r="D39" s="49" t="inlineStr">
        <is>
          <t>Вскрытие старого замка и обеспечение первого доступа</t>
        </is>
      </c>
      <c r="E39" s="64" t="inlineStr">
        <is>
          <t>ВСКРЫТИЕ-ЗАМКА</t>
        </is>
      </c>
      <c r="F39" s="64" t="inlineStr">
        <is>
          <t>выезд</t>
        </is>
      </c>
      <c r="G39" s="218" t="n">
        <v>1</v>
      </c>
      <c r="H39" s="172" t="n">
        <v>8000</v>
      </c>
      <c r="I39" s="219">
        <f>G39*H39</f>
        <v/>
      </c>
      <c r="J39" s="49" t="inlineStr">
        <is>
          <t>Служба вскрытия</t>
        </is>
      </c>
      <c r="K39" s="175">
        <f>HYPERLINK("https://www.avito.ru/tula/predlozheniya_uslug?q=вскрытие+замков"; "Открыть ↗")</f>
        <v/>
      </c>
      <c r="L39" s="49" t="inlineStr">
        <is>
          <t>Аварийное открытие двери после торгов</t>
        </is>
      </c>
    </row>
    <row r="40">
      <c r="A40" s="62" t="n">
        <v>4</v>
      </c>
      <c r="B40" s="62" t="inlineStr">
        <is>
          <t>Демонтаж</t>
        </is>
      </c>
      <c r="C40" s="62" t="inlineStr">
        <is>
          <t>Вывоз мусора</t>
        </is>
      </c>
      <c r="D40" s="44" t="inlineStr">
        <is>
          <t>Заказ мусорного контейнера 8 м³ (лодочка)</t>
        </is>
      </c>
      <c r="E40" s="62" t="inlineStr">
        <is>
          <t>КОНТЕЙНЕР-МУСОР-8М3</t>
        </is>
      </c>
      <c r="F40" s="62" t="inlineStr">
        <is>
          <t>рейс</t>
        </is>
      </c>
      <c r="G40" s="216" t="n">
        <v>1</v>
      </c>
      <c r="H40" s="173" t="n">
        <v>8500</v>
      </c>
      <c r="I40" s="217">
        <f>G40*H40</f>
        <v/>
      </c>
      <c r="J40" s="44" t="inlineStr">
        <is>
          <t>Елена (вывоз мусора)</t>
        </is>
      </c>
      <c r="K40" s="174">
        <f>HYPERLINK("https://www.avito.ru/tula/predlozheniya_uslug?q=вывоз+мусора+контейнер+8+м3"; "Открыть ↗")</f>
        <v/>
      </c>
      <c r="L40" s="44" t="inlineStr">
        <is>
          <t>Вывоз мебели, санузла, чугуна, досок</t>
        </is>
      </c>
    </row>
    <row r="41">
      <c r="A41" s="64" t="n">
        <v>5</v>
      </c>
      <c r="B41" s="64" t="inlineStr">
        <is>
          <t>Демонтаж</t>
        </is>
      </c>
      <c r="C41" s="64" t="inlineStr">
        <is>
          <t>Аренда</t>
        </is>
      </c>
      <c r="D41" s="49" t="inlineStr">
        <is>
          <t>Аренда инструмента и помощь соседа по дому</t>
        </is>
      </c>
      <c r="E41" s="64" t="inlineStr">
        <is>
          <t>АРЕНДА-ИНСТРУМЕНТ</t>
        </is>
      </c>
      <c r="F41" s="64" t="inlineStr">
        <is>
          <t>услуга</t>
        </is>
      </c>
      <c r="G41" s="218" t="n">
        <v>1</v>
      </c>
      <c r="H41" s="172" t="n">
        <v>1000</v>
      </c>
      <c r="I41" s="219">
        <f>G41*H41</f>
        <v/>
      </c>
      <c r="J41" s="49" t="inlineStr">
        <is>
          <t>Сосед по дому</t>
        </is>
      </c>
      <c r="K41" s="175">
        <f>HYPERLINK("https://www.avito.ru/tula/predlozheniya_uslug?q=аренда+перфоратора"; "Открыть ↗")</f>
        <v/>
      </c>
      <c r="L41" s="49" t="inlineStr">
        <is>
          <t>Перфоратор и монтировки для первичного демонтажа</t>
        </is>
      </c>
    </row>
    <row r="42">
      <c r="A42" s="62" t="n">
        <v>7</v>
      </c>
      <c r="B42" s="62" t="inlineStr">
        <is>
          <t>Демонтаж</t>
        </is>
      </c>
      <c r="C42" s="62" t="inlineStr">
        <is>
          <t>Работы</t>
        </is>
      </c>
      <c r="D42" s="44" t="inlineStr">
        <is>
          <t>Оплата работы бригады разнорабочих (4 чел., 28 чел.-час, спуск с 5 этажа)</t>
        </is>
      </c>
      <c r="E42" s="62" t="inlineStr">
        <is>
          <t>ДЕМОНТАЖ-БРИГАДА-1</t>
        </is>
      </c>
      <c r="F42" s="62" t="inlineStr">
        <is>
          <t>смена</t>
        </is>
      </c>
      <c r="G42" s="216" t="n">
        <v>1</v>
      </c>
      <c r="H42" s="173" t="n">
        <v>16000</v>
      </c>
      <c r="I42" s="217">
        <f>G42*H42</f>
        <v/>
      </c>
      <c r="J42" s="44" t="inlineStr">
        <is>
          <t>Бригада разнорабочих</t>
        </is>
      </c>
      <c r="K42" s="174">
        <f>HYPERLINK("https://www.avito.ru/tula/predlozheniya_uslug?q=демонтаж+квартиры+разнорабочие"; "Открыть ↗")</f>
        <v/>
      </c>
      <c r="L42" s="44" t="inlineStr">
        <is>
          <t>Тотальная зачистка и вынос мусора без лифта</t>
        </is>
      </c>
    </row>
    <row r="43">
      <c r="A43" s="64" t="n">
        <v>18</v>
      </c>
      <c r="B43" s="64" t="inlineStr">
        <is>
          <t>Входная группа</t>
        </is>
      </c>
      <c r="C43" s="64" t="inlineStr">
        <is>
          <t>Монтаж</t>
        </is>
      </c>
      <c r="D43" s="49" t="inlineStr">
        <is>
          <t>Монтаж входной двери (демонтаж 2 старых дверей + монтаж новой)</t>
        </is>
      </c>
      <c r="E43" s="64" t="inlineStr">
        <is>
          <t>МОНТАЖ-ДВЕРИ-ВХОД</t>
        </is>
      </c>
      <c r="F43" s="64" t="inlineStr">
        <is>
          <t>услуга</t>
        </is>
      </c>
      <c r="G43" s="218" t="n">
        <v>1</v>
      </c>
      <c r="H43" s="172" t="n">
        <v>9000</v>
      </c>
      <c r="I43" s="219">
        <f>G43*H43</f>
        <v/>
      </c>
      <c r="J43" s="49" t="inlineStr">
        <is>
          <t>Андрей (монтаж дверей)</t>
        </is>
      </c>
      <c r="K43" s="175">
        <f>HYPERLINK("https://www.avito.ru/tula/predlozheniya_uslug?q=установка+входных+дверей"; "Открыть ↗")</f>
        <v/>
      </c>
      <c r="L43" s="49" t="inlineStr">
        <is>
          <t>Сняли старые двери, расширили проем, выставили по уровню</t>
        </is>
      </c>
    </row>
    <row r="44">
      <c r="A44" s="62" t="n">
        <v>22</v>
      </c>
      <c r="B44" s="62" t="inlineStr">
        <is>
          <t>Электрика</t>
        </is>
      </c>
      <c r="C44" s="62" t="inlineStr">
        <is>
          <t>Работы</t>
        </is>
      </c>
      <c r="D44" s="44" t="inlineStr">
        <is>
          <t>Электромонтажные работы под ключ (разводка 32 точек, штробы, щит, счётчик)</t>
        </is>
      </c>
      <c r="E44" s="62" t="inlineStr">
        <is>
          <t>РАБОТА-ЭЛЕКТРИКА-32</t>
        </is>
      </c>
      <c r="F44" s="62" t="inlineStr">
        <is>
          <t>договор</t>
        </is>
      </c>
      <c r="G44" s="216" t="n">
        <v>1</v>
      </c>
      <c r="H44" s="173" t="n">
        <v>50000</v>
      </c>
      <c r="I44" s="217">
        <f>G44*H44</f>
        <v/>
      </c>
      <c r="J44" s="44" t="inlineStr">
        <is>
          <t>Анатолий Кушнарев (бригада)</t>
        </is>
      </c>
      <c r="K44" s="174">
        <f>HYPERLINK("https://www.avito.ru/tula/predlozheniya_uslug?q=электромонтаж+квартиры+под+ключ"; "Открыть ↗")</f>
        <v/>
      </c>
      <c r="L44" s="44" t="inlineStr">
        <is>
          <t>Монтаж всей проводки, сборка щита и счётчика</t>
        </is>
      </c>
    </row>
    <row r="45">
      <c r="A45" s="64" t="n">
        <v>24</v>
      </c>
      <c r="B45" s="64" t="inlineStr">
        <is>
          <t>Демонтаж</t>
        </is>
      </c>
      <c r="C45" s="64" t="inlineStr">
        <is>
          <t>Работы</t>
        </is>
      </c>
      <c r="D45" s="49" t="inlineStr">
        <is>
          <t>Зачистка стен/потолка (обои, плитка в зале и спальне), вынос мусора, 1-й слой грунта</t>
        </is>
      </c>
      <c r="E45" s="64" t="inlineStr">
        <is>
          <t>ДЕМОНТАЖ-ЗАЧИСТКА-2</t>
        </is>
      </c>
      <c r="F45" s="64" t="inlineStr">
        <is>
          <t>смена</t>
        </is>
      </c>
      <c r="G45" s="218" t="n">
        <v>1</v>
      </c>
      <c r="H45" s="172" t="n">
        <v>15000</v>
      </c>
      <c r="I45" s="219">
        <f>G45*H45</f>
        <v/>
      </c>
      <c r="J45" s="49" t="inlineStr">
        <is>
          <t>Бригада разнорабочих</t>
        </is>
      </c>
      <c r="K45" s="175">
        <f>HYPERLINK("https://www.avito.ru/tula/predlozheniya_uslug?q=зачистка+стен+демонтаж+обоев"; "Открыть ↗")</f>
        <v/>
      </c>
      <c r="L45" s="49" t="inlineStr">
        <is>
          <t>Снятие старых слоев, обеспыливание поверхностей</t>
        </is>
      </c>
    </row>
    <row r="46">
      <c r="A46" s="62" t="n">
        <v>40</v>
      </c>
      <c r="B46" s="62" t="inlineStr">
        <is>
          <t>Логистика</t>
        </is>
      </c>
      <c r="C46" s="62" t="inlineStr">
        <is>
          <t>Доставка</t>
        </is>
      </c>
      <c r="D46" s="44" t="inlineStr">
        <is>
          <t>Грузовое такси / Доставка закупки материалов и сантехники (Лемана — Фрунзе 17)</t>
        </is>
      </c>
      <c r="E46" s="62" t="inlineStr">
        <is>
          <t>ГРУЗОТАКСИ-ЛЕРОЙ</t>
        </is>
      </c>
      <c r="F46" s="62" t="inlineStr">
        <is>
          <t>рейс</t>
        </is>
      </c>
      <c r="G46" s="216" t="n">
        <v>1</v>
      </c>
      <c r="H46" s="173" t="n">
        <v>2100</v>
      </c>
      <c r="I46" s="217">
        <f>G46*H46</f>
        <v/>
      </c>
      <c r="J46" s="44" t="inlineStr">
        <is>
          <t>Грузовое такси / Перевозка</t>
        </is>
      </c>
      <c r="K46" s="174">
        <f>HYPERLINK("https://www.avito.ru/tula/predlozheniya_uslug?q=грузоперевозки+грузовое+такси"; "Открыть ↗")</f>
        <v/>
      </c>
      <c r="L46" s="44" t="inlineStr">
        <is>
          <t>Перевозка партии смесей, керамогранита и ванны</t>
        </is>
      </c>
    </row>
    <row r="47">
      <c r="A47" s="64" t="n">
        <v>41</v>
      </c>
      <c r="B47" s="64" t="inlineStr">
        <is>
          <t>Демонтаж</t>
        </is>
      </c>
      <c r="C47" s="64" t="inlineStr">
        <is>
          <t>Работы</t>
        </is>
      </c>
      <c r="D47" s="49" t="inlineStr">
        <is>
          <t>Погрузка в Лемана ПРО, разгрузка и подъём на 5 этаж + демонтаж плитки пола с/у</t>
        </is>
      </c>
      <c r="E47" s="64" t="inlineStr">
        <is>
          <t>ПОДЪЕМ-ДЕМОНТАЖ-СУ</t>
        </is>
      </c>
      <c r="F47" s="64" t="inlineStr">
        <is>
          <t>смена</t>
        </is>
      </c>
      <c r="G47" s="218" t="n">
        <v>1</v>
      </c>
      <c r="H47" s="172" t="n">
        <v>15000</v>
      </c>
      <c r="I47" s="219">
        <f>G47*H47</f>
        <v/>
      </c>
      <c r="J47" s="49" t="inlineStr">
        <is>
          <t>Бригада грузчиков / Разнорабочие</t>
        </is>
      </c>
      <c r="K47" s="175">
        <f>HYPERLINK("https://www.avito.ru/tula/predlozheniya_uslug?q=подъем+стройматериалов+на+этаж+грузчики"; "Открыть ↗")</f>
        <v/>
      </c>
      <c r="L47" s="49" t="inlineStr">
        <is>
          <t>Разгрузка 1.5 тонн смесей на 5 этаж без лифта</t>
        </is>
      </c>
    </row>
    <row r="48">
      <c r="A48" s="62" t="n">
        <v>42</v>
      </c>
      <c r="B48" s="62" t="inlineStr">
        <is>
          <t>Черновые стены</t>
        </is>
      </c>
      <c r="C48" s="62" t="inlineStr">
        <is>
          <t>Отделочные работы</t>
        </is>
      </c>
      <c r="D48" s="44" t="inlineStr">
        <is>
          <t>Штукатурка (69 м² по 500 ₽) и шпаклёвка стен White Box (106 м² по 500 ₽)</t>
        </is>
      </c>
      <c r="E48" s="62" t="inlineStr">
        <is>
          <t>ОТДЕЛКА-СТЕН-ЕЛЕНА</t>
        </is>
      </c>
      <c r="F48" s="62" t="inlineStr">
        <is>
          <t>комплекс</t>
        </is>
      </c>
      <c r="G48" s="216" t="n">
        <v>1</v>
      </c>
      <c r="H48" s="173" t="n">
        <v>87500</v>
      </c>
      <c r="I48" s="217">
        <f>G48*H48</f>
        <v/>
      </c>
      <c r="J48" s="44" t="inlineStr">
        <is>
          <t>Елена (мастер-отделочник)</t>
        </is>
      </c>
      <c r="K48" s="174">
        <f>HYPERLINK("https://www.avito.ru/tula/predlozheniya_uslug?q=штукатурка+шпаклевка+стен"; "Открыть ↗")</f>
        <v/>
      </c>
      <c r="L48" s="44" t="inlineStr">
        <is>
          <t>Штукатурка 69 м² + шпаклёвка стен 106 м² по 500₽. White Box под ключ</t>
        </is>
      </c>
    </row>
    <row r="49">
      <c r="A49" s="223" t="inlineStr"/>
      <c r="B49" s="223" t="inlineStr">
        <is>
          <t>ИТОГО РАБОТЫ И ЛОГИСТИКА:</t>
        </is>
      </c>
      <c r="C49" s="223" t="inlineStr"/>
      <c r="D49" s="223" t="inlineStr"/>
      <c r="E49" s="223" t="inlineStr"/>
      <c r="F49" s="223" t="inlineStr"/>
      <c r="G49" s="223" t="inlineStr"/>
      <c r="H49" s="223" t="inlineStr"/>
      <c r="I49" s="224">
        <f>SUM(I39:I48)</f>
        <v/>
      </c>
      <c r="J49" s="223" t="inlineStr"/>
      <c r="K49" s="223" t="inlineStr"/>
      <c r="L49" s="223" t="inlineStr"/>
    </row>
    <row r="50">
      <c r="A50" s="225" t="inlineStr"/>
      <c r="B50" s="225" t="inlineStr">
        <is>
          <t>🏛 БЛОК 4: ЮРИДИЧЕСКИЕ РАСХОДЫ, ПОШЛИНЫ, ГАЗ, ЭНЕРГОСБЫТ И IT</t>
        </is>
      </c>
      <c r="C50" s="225" t="inlineStr"/>
      <c r="D50" s="225" t="inlineStr"/>
      <c r="E50" s="225" t="inlineStr"/>
      <c r="F50" s="225" t="inlineStr"/>
      <c r="G50" s="225" t="inlineStr"/>
      <c r="H50" s="225" t="inlineStr"/>
      <c r="I50" s="225" t="inlineStr"/>
      <c r="J50" s="225" t="inlineStr"/>
      <c r="K50" s="225" t="inlineStr"/>
      <c r="L50" s="225" t="inlineStr"/>
    </row>
    <row r="51">
      <c r="A51" s="64" t="n">
        <v>1</v>
      </c>
      <c r="B51" s="64" t="inlineStr">
        <is>
          <t>Юр. оформление</t>
        </is>
      </c>
      <c r="C51" s="64" t="inlineStr">
        <is>
          <t>Торги</t>
        </is>
      </c>
      <c r="D51" s="49" t="inlineStr">
        <is>
          <t>Выпуск квалифицированной ЭЦП (электронная цифровая подпись)</t>
        </is>
      </c>
      <c r="E51" s="64" t="inlineStr">
        <is>
          <t>ЭЦП-КОНТУР</t>
        </is>
      </c>
      <c r="F51" s="64" t="inlineStr">
        <is>
          <t>шт.</t>
        </is>
      </c>
      <c r="G51" s="218" t="n">
        <v>1</v>
      </c>
      <c r="H51" s="172" t="n">
        <v>7000</v>
      </c>
      <c r="I51" s="219">
        <f>G51*H51</f>
        <v/>
      </c>
      <c r="J51" s="49" t="inlineStr">
        <is>
          <t>УЦ / Контур</t>
        </is>
      </c>
      <c r="K51" s="175">
        <f>HYPERLINK("https://ca.kontur.ru/"; "Открыть ↗")</f>
        <v/>
      </c>
      <c r="L51" s="49" t="inlineStr">
        <is>
          <t>ЭЦП для участия в торгах и регистрации права</t>
        </is>
      </c>
    </row>
    <row r="52">
      <c r="A52" s="62" t="n">
        <v>2</v>
      </c>
      <c r="B52" s="62" t="inlineStr">
        <is>
          <t>Юр. оформление</t>
        </is>
      </c>
      <c r="C52" s="62" t="inlineStr">
        <is>
          <t>Росреестр</t>
        </is>
      </c>
      <c r="D52" s="44" t="inlineStr">
        <is>
          <t>Государственная пошлина (регистрация перехода права собственности)</t>
        </is>
      </c>
      <c r="E52" s="62" t="inlineStr">
        <is>
          <t>ГОСПОШЛИНА-ПРАВО</t>
        </is>
      </c>
      <c r="F52" s="62" t="inlineStr">
        <is>
          <t>платеж</t>
        </is>
      </c>
      <c r="G52" s="216" t="n">
        <v>1</v>
      </c>
      <c r="H52" s="173" t="n">
        <v>5000</v>
      </c>
      <c r="I52" s="217">
        <f>G52*H52</f>
        <v/>
      </c>
      <c r="J52" s="44" t="inlineStr">
        <is>
          <t>Росреестр</t>
        </is>
      </c>
      <c r="K52" s="174">
        <f>HYPERLINK("https://rosreestr.gov.ru/"; "Открыть ↗")</f>
        <v/>
      </c>
      <c r="L52" s="44" t="inlineStr">
        <is>
          <t>Официальная пошлина Росреестра</t>
        </is>
      </c>
    </row>
    <row r="53">
      <c r="A53" s="64" t="n">
        <v>10</v>
      </c>
      <c r="B53" s="64" t="inlineStr">
        <is>
          <t>IT / AI</t>
        </is>
      </c>
      <c r="C53" s="64" t="inlineStr">
        <is>
          <t>Инфраструктура</t>
        </is>
      </c>
      <c r="D53" s="49" t="inlineStr">
        <is>
          <t>Пополнение баланса OpenRouter (AI-ассистент Hermes) — транш 1</t>
        </is>
      </c>
      <c r="E53" s="64" t="inlineStr">
        <is>
          <t>OPENROUTER-TRANS-1</t>
        </is>
      </c>
      <c r="F53" s="64" t="inlineStr">
        <is>
          <t>платёж</t>
        </is>
      </c>
      <c r="G53" s="218" t="n">
        <v>1</v>
      </c>
      <c r="H53" s="172" t="n">
        <v>3000</v>
      </c>
      <c r="I53" s="219">
        <f>G53*H53</f>
        <v/>
      </c>
      <c r="J53" s="49" t="inlineStr">
        <is>
          <t>OpenRouter</t>
        </is>
      </c>
      <c r="K53" s="175">
        <f>HYPERLINK("https://openrouter.ai/"; "Открыть ↗")</f>
        <v/>
      </c>
      <c r="L53" s="49" t="inlineStr">
        <is>
          <t>Инфраструктура проектов и аналитика</t>
        </is>
      </c>
    </row>
    <row r="54">
      <c r="A54" s="62" t="n">
        <v>12</v>
      </c>
      <c r="B54" s="62" t="inlineStr">
        <is>
          <t>Газ</t>
        </is>
      </c>
      <c r="C54" s="62" t="inlineStr">
        <is>
          <t>Безопасность</t>
        </is>
      </c>
      <c r="D54" s="44" t="inlineStr">
        <is>
          <t>Акт ВДПО — проверка дымохода и вентканала</t>
        </is>
      </c>
      <c r="E54" s="62" t="inlineStr">
        <is>
          <t>ВДПО-АКТ-ВЕНТ</t>
        </is>
      </c>
      <c r="F54" s="62" t="inlineStr">
        <is>
          <t>акт</t>
        </is>
      </c>
      <c r="G54" s="216" t="n">
        <v>1</v>
      </c>
      <c r="H54" s="173" t="n">
        <v>1500</v>
      </c>
      <c r="I54" s="217">
        <f>G54*H54</f>
        <v/>
      </c>
      <c r="J54" s="44" t="inlineStr">
        <is>
          <t>ВДПО / Газовая служба</t>
        </is>
      </c>
      <c r="K54" s="174">
        <f>HYPERLINK("https://vdpo71.ru/"; "Открыть ↗")</f>
        <v/>
      </c>
      <c r="L54" s="44" t="inlineStr">
        <is>
          <t>Обязательная проверка тяги для газовой колонки</t>
        </is>
      </c>
    </row>
    <row r="55">
      <c r="A55" s="64" t="n">
        <v>13</v>
      </c>
      <c r="B55" s="64" t="inlineStr">
        <is>
          <t>Газ</t>
        </is>
      </c>
      <c r="C55" s="64" t="inlineStr">
        <is>
          <t>Коммуналка</t>
        </is>
      </c>
      <c r="D55" s="49" t="inlineStr">
        <is>
          <t>Оплата квитанций Тулагоргаз (платежки/техобслуживание)</t>
        </is>
      </c>
      <c r="E55" s="64" t="inlineStr">
        <is>
          <t>ТУЛАГОРГАЗ-КВИТАНЦИЯ</t>
        </is>
      </c>
      <c r="F55" s="64" t="inlineStr">
        <is>
          <t>платеж</t>
        </is>
      </c>
      <c r="G55" s="218" t="n">
        <v>1</v>
      </c>
      <c r="H55" s="172" t="n">
        <v>800</v>
      </c>
      <c r="I55" s="219">
        <f>G55*H55</f>
        <v/>
      </c>
      <c r="J55" s="49" t="inlineStr">
        <is>
          <t>Тулагоргаз</t>
        </is>
      </c>
      <c r="K55" s="175">
        <f>HYPERLINK("https://tulagorgaz.ru/"; "Открыть ↗")</f>
        <v/>
      </c>
      <c r="L55" s="49" t="inlineStr">
        <is>
          <t>Погашение начислений газовой службы</t>
        </is>
      </c>
    </row>
    <row r="56">
      <c r="A56" s="62" t="n">
        <v>21</v>
      </c>
      <c r="B56" s="62" t="inlineStr">
        <is>
          <t>Энергосбыт</t>
        </is>
      </c>
      <c r="C56" s="62" t="inlineStr">
        <is>
          <t>Учёт</t>
        </is>
      </c>
      <c r="D56" s="44" t="inlineStr">
        <is>
          <t>Срочный выезд инспектора ТНС энерго Тула (снятие пломбы со старого счётчика)</t>
        </is>
      </c>
      <c r="E56" s="62" t="inlineStr">
        <is>
          <t>ТНС-ВЫЕЗД-ПЛОМБА</t>
        </is>
      </c>
      <c r="F56" s="62" t="inlineStr">
        <is>
          <t>услуга</t>
        </is>
      </c>
      <c r="G56" s="216" t="n">
        <v>1</v>
      </c>
      <c r="H56" s="173" t="n">
        <v>2500</v>
      </c>
      <c r="I56" s="217">
        <f>G56*H56</f>
        <v/>
      </c>
      <c r="J56" s="44" t="inlineStr">
        <is>
          <t>АО "ТНС энерго Тула"</t>
        </is>
      </c>
      <c r="K56" s="174">
        <f>HYPERLINK("https://tns-e.ru/"; "Открыть ↗")</f>
        <v/>
      </c>
      <c r="L56" s="44" t="inlineStr">
        <is>
          <t>Срочное снятие пломбы за 5 дней</t>
        </is>
      </c>
    </row>
    <row r="57">
      <c r="A57" s="64" t="n">
        <v>31</v>
      </c>
      <c r="B57" s="64" t="inlineStr">
        <is>
          <t>IT / AI</t>
        </is>
      </c>
      <c r="C57" s="64" t="inlineStr">
        <is>
          <t>Инфраструктура</t>
        </is>
      </c>
      <c r="D57" s="49" t="inlineStr">
        <is>
          <t>Пополнение баланса OpenRouter (AI-ассистент Hermes) — транш 2</t>
        </is>
      </c>
      <c r="E57" s="64" t="inlineStr">
        <is>
          <t>OPENROUTER-TRANS-2</t>
        </is>
      </c>
      <c r="F57" s="64" t="inlineStr">
        <is>
          <t>платёж</t>
        </is>
      </c>
      <c r="G57" s="218" t="n">
        <v>1</v>
      </c>
      <c r="H57" s="172" t="n">
        <v>2500</v>
      </c>
      <c r="I57" s="219">
        <f>G57*H57</f>
        <v/>
      </c>
      <c r="J57" s="49" t="inlineStr">
        <is>
          <t>OpenRouter</t>
        </is>
      </c>
      <c r="K57" s="175">
        <f>HYPERLINK("https://openrouter.ai/"; "Открыть ↗")</f>
        <v/>
      </c>
      <c r="L57" s="49" t="inlineStr">
        <is>
          <t>Пополнение баланса API для расчётов и смет</t>
        </is>
      </c>
    </row>
    <row r="58">
      <c r="A58" s="62" t="n">
        <v>33</v>
      </c>
      <c r="B58" s="62" t="inlineStr">
        <is>
          <t>Энергосбыт</t>
        </is>
      </c>
      <c r="C58" s="62" t="inlineStr">
        <is>
          <t>Учёт</t>
        </is>
      </c>
      <c r="D58" s="44" t="inlineStr">
        <is>
          <t>Дистанционная распломбировка старого электросчётчика (согласование)</t>
        </is>
      </c>
      <c r="E58" s="62" t="inlineStr">
        <is>
          <t>ТНС-РАСПЛОМБ-ДИСТ</t>
        </is>
      </c>
      <c r="F58" s="62" t="inlineStr">
        <is>
          <t>услуга</t>
        </is>
      </c>
      <c r="G58" s="216" t="n">
        <v>1</v>
      </c>
      <c r="H58" s="173" t="n">
        <v>2200</v>
      </c>
      <c r="I58" s="217">
        <f>G58*H58</f>
        <v/>
      </c>
      <c r="J58" s="44" t="inlineStr">
        <is>
          <t>ТНС энерго Тула / Энергосбыт</t>
        </is>
      </c>
      <c r="K58" s="174">
        <f>HYPERLINK("https://tns-e.ru/"; "Открыть ↗")</f>
        <v/>
      </c>
      <c r="L58" s="44" t="inlineStr">
        <is>
          <t>Официальное согласование замены электроузла</t>
        </is>
      </c>
    </row>
    <row r="59">
      <c r="A59" s="223" t="inlineStr"/>
      <c r="B59" s="223" t="inlineStr">
        <is>
          <t>ИТОГО ЮР. РАСХОДЫ, СЛУЖБЫ И IT:</t>
        </is>
      </c>
      <c r="C59" s="223" t="inlineStr"/>
      <c r="D59" s="223" t="inlineStr"/>
      <c r="E59" s="223" t="inlineStr"/>
      <c r="F59" s="223" t="inlineStr"/>
      <c r="G59" s="223" t="inlineStr"/>
      <c r="H59" s="223" t="inlineStr"/>
      <c r="I59" s="224">
        <f>SUM(I51:I58)</f>
        <v/>
      </c>
      <c r="J59" s="223" t="inlineStr"/>
      <c r="K59" s="223" t="inlineStr"/>
      <c r="L59" s="223" t="inlineStr"/>
    </row>
    <row r="60">
      <c r="A60" s="226" t="inlineStr"/>
      <c r="B60" s="226" t="inlineStr">
        <is>
          <t>ОБЩИЙ ИТОГО ФАКТ РАСХОДОВ (ДИНАМИЧЕСКИЙ):</t>
        </is>
      </c>
      <c r="C60" s="226" t="inlineStr"/>
      <c r="D60" s="226" t="inlineStr"/>
      <c r="E60" s="226" t="inlineStr"/>
      <c r="F60" s="226" t="inlineStr"/>
      <c r="G60" s="226" t="inlineStr"/>
      <c r="H60" s="226" t="inlineStr"/>
      <c r="I60" s="227">
        <f>SUBTOTAL(109; I6:I21; I24:I36; I39:I48; I51:I58)</f>
        <v/>
      </c>
      <c r="J60" s="226" t="inlineStr"/>
      <c r="K60" s="226" t="inlineStr"/>
      <c r="L60" s="2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2026-09-20T18:43:48Z</dcterms:modified>
</cp:coreProperties>
</file>
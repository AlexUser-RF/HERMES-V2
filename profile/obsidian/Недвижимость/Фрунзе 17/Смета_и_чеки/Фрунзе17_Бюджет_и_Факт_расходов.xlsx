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2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28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7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9" t="n"/>
      <c r="C5" s="118">
        <f>'План vs Рынок (Смета)'!E16</f>
        <v/>
      </c>
      <c r="D5" s="118">
        <f>'Факт расходов'!F36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  <c r="B8" s="122" t="n"/>
      <c r="C8" s="122" t="n"/>
      <c r="D8" s="122" t="n"/>
      <c r="E8" s="122" t="n"/>
      <c r="F8" s="122" t="n"/>
      <c r="G8" s="122" t="n"/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4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49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расходов'!C5:C35, "*Юр.*", 'Факт расходов'!F5:F35)+SUMIF('Факт расходов'!C5:C35, "*Безопасность*", 'Факт расходов'!F5:F35)+SUMIF('Факт расходов'!C5:C35, "*IT*", 'Факт расходов'!F5:F35)+SUMIF('Факт расходов'!C5:C35, "*Электроэнергия*", 'Факт расходов'!F5:F35)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44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49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44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12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44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49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44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49" t="n"/>
    </row>
    <row r="21" ht="24" customHeight="1">
      <c r="A21" s="160" t="inlineStr">
        <is>
          <t>2. ОПЕРАЦИОННЫЙ ТРЕКЕР БЮДЖЕТА РЕМОНТА (ПЛАН VS ФАКТ VS ОСТАТОК)</t>
        </is>
      </c>
      <c r="B21" s="122" t="n"/>
      <c r="C21" s="122" t="n"/>
      <c r="D21" s="122" t="n"/>
      <c r="E21" s="122" t="n"/>
      <c r="F21" s="122" t="n"/>
      <c r="G21" s="122" t="n"/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расходов'!C5:C35, "*Демонтаж*", 'Факт расходов'!F5:F35)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расходов'!C5:C35, "*Двери*", 'Факт расходов'!F5:F35)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расходов'!C5:C35, "*Электрика*", 'Факт расходов'!F5:F35)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расходов'!C5:C35, "*Сантехника*", 'Факт расходов'!F5:F35)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расходов'!C5:C35, "*Газ*", 'Факт расходов'!F5:F35)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расходов'!C5:C35, "*Черновая*", 'Факт расходов'!F5:F35)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 t="n">
        <v>0</v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расходов'!C5:C35, "*Инструмент*", 'Факт расходов'!F5:F35)+SUMIF('Факт расходов'!C5:C35, "*Расходные*", 'Факт расходов'!F5:F35)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расходов'!C5:C35, "*хозмаг*", 'Факт расходов'!F5:F35)+SUMIF('Факт расходов'!C5:C35, "*Хоз.*", 'Факт расходов'!F5:F35)+SUMIF('Факт расходов'!C5:C35, "*Оснащение*", 'Факт расходов'!F5:F35)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  <c r="B40" s="122" t="n"/>
      <c r="C40" s="122" t="n"/>
      <c r="D40" s="122" t="n"/>
      <c r="E40" s="122" t="n"/>
      <c r="F40" s="122" t="n"/>
      <c r="G40" s="122" t="n"/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4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49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44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49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расходов'!E36</f>
        <v/>
      </c>
      <c r="C45" s="45">
        <f>'Факт расходов'!F36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44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12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4" customHeight="1">
      <c r="A36" s="94" t="n"/>
      <c r="B36" s="94" t="n"/>
      <c r="C36" s="54" t="n"/>
      <c r="D36" s="65" t="inlineStr">
        <is>
          <t>ИТОГО РАСХОДОВ:</t>
        </is>
      </c>
      <c r="E36" s="55">
        <f>SUM(E5:E35)</f>
        <v/>
      </c>
      <c r="F36" s="55">
        <f>SUM(F5:F35)</f>
        <v/>
      </c>
      <c r="G36" s="55">
        <f>SUM(G5:G35)</f>
        <v/>
      </c>
      <c r="H36" s="104">
        <f>IFERROR(G36/E36, 0)</f>
        <v/>
      </c>
      <c r="I36" s="54" t="n"/>
      <c r="J36" s="54" t="n"/>
      <c r="K36" s="30" t="n"/>
      <c r="L36" s="30" t="n"/>
      <c r="M36" s="30" t="n"/>
      <c r="N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140" t="n"/>
      <c r="B45" s="140" t="n"/>
      <c r="C45" s="140" t="n"/>
      <c r="D45" s="140" t="n"/>
      <c r="E45" s="140" t="n"/>
      <c r="F45" s="140" t="n"/>
      <c r="G45" s="140" t="n"/>
      <c r="H45" s="140" t="n"/>
      <c r="I45" s="140" t="n"/>
      <c r="J45" s="140" t="n"/>
      <c r="K45" s="140" t="n"/>
      <c r="L45" s="140" t="n"/>
      <c r="M45" s="140" t="n"/>
      <c r="N45" s="140" t="n"/>
    </row>
    <row r="46">
      <c r="A46" s="140" t="n"/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</row>
    <row r="47">
      <c r="A47" s="140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</row>
    <row r="48">
      <c r="A48" s="140" t="n"/>
      <c r="B48" s="140" t="n"/>
      <c r="C48" s="140" t="n"/>
      <c r="D48" s="140" t="n"/>
      <c r="E48" s="140" t="n"/>
      <c r="F48" s="140" t="n"/>
      <c r="G48" s="140" t="n"/>
      <c r="H48" s="140" t="n"/>
      <c r="I48" s="140" t="n"/>
      <c r="J48" s="140" t="n"/>
      <c r="K48" s="140" t="n"/>
      <c r="L48" s="140" t="n"/>
      <c r="M48" s="140" t="n"/>
      <c r="N48" s="14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  <row r="52">
      <c r="A52" s="140" t="n"/>
      <c r="B52" s="140" t="n"/>
      <c r="C52" s="140" t="n"/>
      <c r="D52" s="140" t="n"/>
      <c r="E52" s="140" t="n"/>
      <c r="F52" s="140" t="n"/>
      <c r="G52" s="140" t="n"/>
      <c r="H52" s="140" t="n"/>
      <c r="I52" s="140" t="n"/>
      <c r="J52" s="140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2026-09-06T19:38:06Z</dcterms:modified>
</cp:coreProperties>
</file>